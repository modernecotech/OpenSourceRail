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7f29dcc81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3cc0818e3ef043ee"/>
    <x:sheet xmlns:r="http://schemas.openxmlformats.org/officeDocument/2006/relationships" name="Vehicle" sheetId="2" r:id="Ra576f50871c14706"/>
    <x:sheet xmlns:r="http://schemas.openxmlformats.org/officeDocument/2006/relationships" name="Civil" sheetId="3" r:id="R5d6b65bfa3a547c1"/>
    <x:sheet xmlns:r="http://schemas.openxmlformats.org/officeDocument/2006/relationships" name="Inputs" sheetId="4" r:id="R1dddf921bbdc4f25"/>
    <x:sheet xmlns:r="http://schemas.openxmlformats.org/officeDocument/2006/relationships" name="Pilot" sheetId="5" r:id="R81794b58fe4e4e4d"/>
  </x:sheets>
</x:workbook>
</file>

<file path=xl/comments1.xml><?xml version="1.0" encoding="utf-8"?>
<x:comments xmlns:x="http://schemas.openxmlformats.org/spreadsheetml/2006/main">
  <x:authors>
    <x:author/>
  </x:authors>
  <x:commentList>
    <x:comment ref="A6" authorId="0">
      <x:text>
        <x:r>
          <x:t>Dimensioned narrow-box supplied structural components, excluding conventional rail and new walkway brackets
Current source: https://github.com/modernecotech/OpenSourceRail/blob/50010ce56370cf6b22dc383c12eebbc224800007/lib/templates/civil-cost-model.toml</x:t>
        </x:r>
      </x:text>
    </x:comment>
    <x:comment ref="A7" authorId="0">
      <x:text>
        <x:r>
          <x:t>Conventional steel rail and fastening supplier allowance; provisional allocation, not a separately quoted repo price
Current source: https://github.com/modernecotech/OpenSourceRail/blob/50010ce56370cf6b22dc383c12eebbc224800007/lib/templates/civil-cost-model.toml</x:t>
        </x:r>
      </x:text>
    </x:comment>
    <x:comment ref="A8" authorId="0">
      <x:text>
        <x:r>
          <x:t>New passive ferromagnetic functional rail, fabricated profiles/laminations and mounting/adjustment hardware; supply only, installation and QA below
All functional ferromagnetic faces/mountings. Include an extra conductor if LIM is selected.</x:t>
        </x:r>
      </x:text>
    </x:comment>
    <x:comment ref="A9" authorId="0">
      <x:text>
        <x:r>
          <x:t>Additional long cantilever walkway brackets for narrow guidebeams;800/km at$200/$400/$750 supply each
Current source: https://github.com/modernecotech/OpenSourceRail/blob/50010ce56370cf6b22dc383c12eebbc224800007/lib/templates/civil-cost-model.toml</x:t>
        </x:r>
      </x:text>
    </x:comment>
    <x:comment ref="A10" authorId="0">
      <x:text>
        <x:r>
          <x:t>Erection equipment and normal guideway lifts
Current source: https://github.com/modernecotech/OpenSourceRail/blob/50010ce56370cf6b22dc383c12eebbc224800007/lib/templates/civil-cost-model.toml</x:t>
        </x:r>
      </x:text>
    </x:comment>
    <x:comment ref="A11" authorId="0">
      <x:text>
        <x:r>
          <x:t>Transport
Current source: https://github.com/modernecotech/OpenSourceRail/blob/50010ce56370cf6b22dc383c12eebbc224800007/lib/templates/civil-cost-model.toml</x:t>
        </x:r>
      </x:text>
    </x:comment>
    <x:comment ref="A12" authorId="0">
      <x:text>
        <x:r>
          <x:t>Temporary works
Current source: https://github.com/modernecotech/OpenSourceRail/blob/50010ce56370cf6b22dc383c12eebbc224800007/lib/templates/civil-cost-model.toml</x:t>
        </x:r>
      </x:text>
    </x:comment>
    <x:comment ref="A13" authorId="0">
      <x:text>
        <x:r>
          <x:t>Installation labour and supervision, including passive rail installation
Current source: https://github.com/modernecotech/OpenSourceRail/blob/50010ce56370cf6b22dc383c12eebbc224800007/lib/templates/civil-cost-model.toml</x:t>
        </x:r>
      </x:text>
    </x:comment>
    <x:comment ref="A14" authorId="0">
      <x:text>
        <x:r>
          <x:t>Night shift allowance
Current source: https://github.com/modernecotech/OpenSourceRail/blob/50010ce56370cf6b22dc383c12eebbc224800007/lib/templates/civil-cost-model.toml</x:t>
        </x:r>
      </x:text>
    </x:comment>
    <x:comment ref="A15" authorId="0">
      <x:text>
        <x:r>
          <x:t>Testing, inspection and magnetic rail metrology/alignment
Current source: https://github.com/modernecotech/OpenSourceRail/blob/50010ce56370cf6b22dc383c12eebbc224800007/lib/templates/civil-cost-model.toml</x:t>
        </x:r>
      </x:text>
    </x:comment>
    <x:comment ref="A16" authorId="0">
      <x:text>
        <x:r>
          <x:t>Maintenance equipment relocations; excludes utility relocation
Current source: https://github.com/modernecotech/OpenSourceRail/blob/50010ce56370cf6b22dc383c12eebbc224800007/lib/templates/civil-cost-model.toml</x:t>
        </x:r>
      </x:text>
    </x:comment>
    <x:comment ref="A17" authorId="0">
      <x:text>
        <x:r>
          <x:t>Traffic management
Current source: https://github.com/modernecotech/OpenSourceRail/blob/50010ce56370cf6b22dc383c12eebbc224800007/lib/templates/civil-cost-model.toml</x:t>
        </x:r>
      </x:text>
    </x:comment>
    <x:comment ref="A18" authorId="0">
      <x:text>
        <x:r>
          <x:t>Supports and foundations; reduced only after structural/geotechnical release
Current source: https://github.com/modernecotech/OpenSourceRail/blob/50010ce56370cf6b22dc383c12eebbc224800007/lib/templates/civil-cost-model.toml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C16" authorId="0">
      <x:text>
        <x:r>
          <x:t>Current LM3
https://github.com/modernecotech/OpenSourceRail/blob/50010ce56370cf6b22dc383c12eebbc224800007/lib/templates/rolling-stock.toml</x:t>
        </x:r>
      </x:text>
    </x:comment>
    <x:comment ref="C17" authorId="0">
      <x:text>
        <x:r>
          <x:t>Promoted build estimate
https://github.com/modernecotech/OpenSourceRail/blob/50010ce56370cf6b22dc383c12eebbc224800007/design/component-catalogue/catalog/buildable-trainset/trainset-build-cost.json</x:t>
        </x:r>
      </x:text>
    </x:comment>
    <x:comment ref="C18" authorId="0">
      <x:text>
        <x:r>
          <x:t>Promoted build estimate
https://github.com/modernecotech/OpenSourceRail/blob/50010ce56370cf6b22dc383c12eebbc224800007/design/component-catalogue/catalog/buildable-trainset/trainset-build-cost.json</x:t>
        </x:r>
      </x:text>
    </x:comment>
    <x:comment ref="C19" authorId="0">
      <x:text>
        <x:r>
          <x:t>Retained local-owner assumption
https://github.com/modernecotech/OpenSourceRail/blob/50010ce56370cf6b22dc383c12eebbc224800007/design/component-catalogue/catalog/buildable-trainset/trainset-build-cost.json</x:t>
        </x:r>
      </x:text>
    </x:comment>
    <x:comment ref="C20" authorId="0">
      <x:text>
        <x:r>
          <x:t>Retained for both vehicle alternatives
https://github.com/modernecotech/OpenSourceRail/blob/50010ce56370cf6b22dc383c12eebbc224800007/design/component-catalogue/catalog/buildable-trainset/trainset-build-cost.json</x:t>
        </x:r>
      </x:text>
    </x:comment>
    <x:comment ref="C21" authorId="0">
      <x:text>
        <x:r>
          <x:t>Modeled subtotal plus reserve
https://github.com/modernecotech/OpenSourceRail/blob/50010ce56370cf6b22dc383c12eebbc224800007/docs/rolling-stock/light-metro-3car/README.md</x:t>
        </x:r>
      </x:text>
    </x:comment>
    <x:comment ref="C22" authorId="0">
      <x:text>
        <x:r>
          <x:t>Current capacity preserved
https://github.com/modernecotech/OpenSourceRail/blob/50010ce56370cf6b22dc383c12eebbc224800007/lib/templates/rolling-stock.toml</x:t>
        </x:r>
      </x:text>
    </x:comment>
    <x:comment ref="C23" authorId="0">
      <x:text>
        <x:r>
          <x:t>Current capacity preserved
https://github.com/modernecotech/OpenSourceRail/blob/50010ce56370cf6b22dc383c12eebbc224800007/lib/templates/rolling-stock.toml</x:t>
        </x:r>
      </x:text>
    </x:comment>
    <x:comment ref="C24" authorId="0">
      <x:text>
        <x:r>
          <x:t>Study load assumption; operator requirements to resolve
</x:t>
        </x:r>
      </x:text>
    </x:comment>
    <x:comment ref="C25" authorId="0">
      <x:text>
        <x:r>
          <x:t>User assumption: $7,000 per 3 tonnes; raw blocks only
</x:t>
        </x:r>
      </x:text>
    </x:comment>
    <x:comment ref="C26" authorId="0">
      <x:text>
        <x:r>
          <x:t>Current LM3
https://github.com/modernecotech/OpenSourceRail/blob/50010ce56370cf6b22dc383c12eebbc224800007/lib/templates/rolling-stock.toml</x:t>
        </x:r>
      </x:text>
    </x:comment>
    <x:comment ref="C27" authorId="0">
      <x:text>
        <x:r>
          <x:t>T5 anchor; battery auxiliaries separate
https://github.com/modernecotech/OpenSourceRail/blob/50010ce56370cf6b22dc383c12eebbc224800007/docs/rolling-stock/light-metro-3car/bom-skeleton.md</x:t>
        </x:r>
      </x:text>
    </x:comment>
    <x:comment ref="C28" authorId="0">
      <x:text>
        <x:r>
          <x:t>Engineering assumption; pack mass not measured
</x:t>
        </x:r>
      </x:text>
    </x:comment>
    <x:comment ref="C29" authorId="0">
      <x:text>
        <x:r>
          <x:t>18 t target with 3 t ferrite and 150 kWh
</x:t>
        </x:r>
      </x:text>
    </x:comment>
    <x:comment ref="C30" authorId="0">
      <x:text>
        <x:r>
          <x:t>Mass ledger base; no second counting
</x:t>
        </x:r>
      </x:text>
    </x:comment>
    <x:comment ref="C31" authorId="0">
      <x:text>
        <x:r>
          <x:t>Mass ledger base
</x:t>
        </x:r>
      </x:text>
    </x:comment>
    <x:comment ref="C32" authorId="0">
      <x:text>
        <x:r>
          <x:t>Calculation constant
</x:t>
        </x:r>
      </x:text>
    </x:comment>
    <x:comment ref="C33" authorId="0">
      <x:text>
        <x:r>
          <x:t>20–80% SOC design assumption
</x:t>
        </x:r>
      </x:text>
    </x:comment>
    <x:comment ref="C34" authorId="0">
      <x:text>
        <x:r>
          <x:t>Design sensitivity, not cell supplier evidence
</x:t>
        </x:r>
      </x:text>
    </x:comment>
    <x:comment ref="C35" authorId="0">
      <x:text>
        <x:r>
          <x:t>Packaging seed, not released geometry
</x:t>
        </x:r>
      </x:text>
    </x:comment>
    <x:comment ref="C36" authorId="0">
      <x:text>
        <x:r>
          <x:t>Older BOM row G1_G21; promoted candidate uplift retained
https://github.com/modernecotech/OpenSourceRail/blob/50010ce56370cf6b22dc383c12eebbc224800007/docs/rolling-stock/light-metro-3car/bom-skeleton.md</x:t>
        </x:r>
      </x:text>
    </x:comment>
    <x:comment ref="C37" authorId="0">
      <x:text>
        <x:r>
          <x:t>Older BOM row T1; promoted candidate uplift retained
https://github.com/modernecotech/OpenSourceRail/blob/50010ce56370cf6b22dc383c12eebbc224800007/docs/rolling-stock/light-metro-3car/bom-skeleton.md</x:t>
        </x:r>
      </x:text>
    </x:comment>
    <x:comment ref="C38" authorId="0">
      <x:text>
        <x:r>
          <x:t>Older BOM row T2; promoted candidate uplift retained
https://github.com/modernecotech/OpenSourceRail/blob/50010ce56370cf6b22dc383c12eebbc224800007/docs/rolling-stock/light-metro-3car/bom-skeleton.md</x:t>
        </x:r>
      </x:text>
    </x:comment>
    <x:comment ref="C39" authorId="0">
      <x:text>
        <x:r>
          <x:t>Older BOM row T3; promoted candidate uplift retained
https://github.com/modernecotech/OpenSourceRail/blob/50010ce56370cf6b22dc383c12eebbc224800007/docs/rolling-stock/light-metro-3car/bom-skeleton.md</x:t>
        </x:r>
      </x:text>
    </x:comment>
    <x:comment ref="C40" authorId="0">
      <x:text>
        <x:r>
          <x:t>Older BOM row T4; promoted candidate uplift retained
https://github.com/modernecotech/OpenSourceRail/blob/50010ce56370cf6b22dc383c12eebbc224800007/docs/rolling-stock/light-metro-3car/bom-skeleton.md</x:t>
        </x:r>
      </x:text>
    </x:comment>
    <x:comment ref="C41" authorId="0">
      <x:text>
        <x:r>
          <x:t>Current generated civil reference
https://github.com/modernecotech/OpenSourceRail/blob/50010ce56370cf6b22dc383c12eebbc224800007/lib/templates/civil-cost-model.toml</x:t>
        </x:r>
      </x:text>
    </x:comment>
    <x:comment ref="C42" authorId="0">
      <x:text>
        <x:r>
          <x:t>Author allocation within supplied-components scope; unverified
</x:t>
        </x:r>
      </x:text>
    </x:comment>
    <x:comment ref="C43" authorId="0">
      <x:text>
        <x:r>
          <x:t>Two directions
</x:t>
        </x:r>
      </x:text>
    </x:comment>
    <x:comment ref="C44" authorId="0">
      <x:text>
        <x:r>
          <x:t>Repo scope allocation; unquoted
https://github.com/modernecotech/OpenSourceRail/blob/50010ce56370cf6b22dc383c12eebbc224800007/lib/templates/civil-cost-model.toml</x:t>
        </x:r>
      </x:text>
    </x:comment>
    <x:comment ref="C45" authorId="0">
      <x:text>
        <x:r>
          <x:t>Repo scope allocation; unquoted
https://github.com/modernecotech/OpenSourceRail/blob/50010ce56370cf6b22dc383c12eebbc224800007/lib/templates/civil-cost-model.toml</x:t>
        </x:r>
      </x:text>
    </x:comment>
    <x:comment ref="C46" authorId="0">
      <x:text>
        <x:r>
          <x:t>Repo scope allocation; unquoted
https://github.com/modernecotech/OpenSourceRail/blob/50010ce56370cf6b22dc383c12eebbc224800007/lib/templates/civil-cost-model.toml</x:t>
        </x:r>
      </x:text>
    </x:comment>
    <x:comment ref="C47" authorId="0">
      <x:text>
        <x:r>
          <x:t>Repo scope allocation; unquoted
https://github.com/modernecotech/OpenSourceRail/blob/50010ce56370cf6b22dc383c12eebbc224800007/lib/templates/civil-cost-model.toml</x:t>
        </x:r>
      </x:text>
    </x:comment>
    <x:comment ref="C48" authorId="0">
      <x:text>
        <x:r>
          <x:t>Repo scope allocation; unquoted
https://github.com/modernecotech/OpenSourceRail/blob/50010ce56370cf6b22dc383c12eebbc224800007/lib/templates/civil-cost-model.toml</x:t>
        </x:r>
      </x:text>
    </x:comment>
    <x:comment ref="C49" authorId="0">
      <x:text>
        <x:r>
          <x:t>Repo scope allocation; unquoted
https://github.com/modernecotech/OpenSourceRail/blob/50010ce56370cf6b22dc383c12eebbc224800007/lib/templates/civil-cost-model.toml</x:t>
        </x:r>
      </x:text>
    </x:comment>
    <x:comment ref="C50" authorId="0">
      <x:text>
        <x:r>
          <x:t>Repo scope allocation; unquoted
https://github.com/modernecotech/OpenSourceRail/blob/50010ce56370cf6b22dc383c12eebbc224800007/lib/templates/civil-cost-model.toml</x:t>
        </x:r>
      </x:text>
    </x:comment>
    <x:comment ref="C51" authorId="0">
      <x:text>
        <x:r>
          <x:t>Repo scope allocation; unquoted
https://github.com/modernecotech/OpenSourceRail/blob/50010ce56370cf6b22dc383c12eebbc224800007/lib/templates/civil-cost-model.toml</x:t>
        </x:r>
      </x:text>
    </x:comment>
    <x:comment ref="C52" authorId="0">
      <x:text>
        <x:r>
          <x:t>Repo scope allocation; unquoted
https://github.com/modernecotech/OpenSourceRail/blob/50010ce56370cf6b22dc383c12eebbc224800007/lib/templates/civil-cost-model.toml</x:t>
        </x:r>
      </x:text>
    </x:comment>
    <x:comment ref="C53" authorId="0">
      <x:text>
        <x:r>
          <x:t>Repo scope allocation; unquoted
https://github.com/modernecotech/OpenSourceRail/blob/50010ce56370cf6b22dc383c12eebbc224800007/lib/templates/civil-cost-model.toml</x:t>
        </x:r>
      </x:text>
    </x:comment>
    <x:comment ref="C54" authorId="0">
      <x:text>
        <x:r>
          <x:t>Repo scope allocation; unquoted
https://github.com/modernecotech/OpenSourceRail/blob/50010ce56370cf6b22dc383c12eebbc224800007/lib/templates/civil-cost-model.toml</x:t>
        </x:r>
      </x:text>
    </x:comment>
    <x:comment ref="C55" authorId="0">
      <x:text>
        <x:r>
          <x:t>Author budget assumption; fully loaded cost
</x:t>
        </x:r>
      </x:text>
    </x:comment>
    <x:comment ref="A59" authorId="0">
      <x:text>
        <x:r>
          <x:t>Engineering allowance; supplier subassembly fabrication included</x:t>
        </x:r>
      </x:text>
    </x:comment>
    <x:comment ref="A60" authorId="0">
      <x:text>
        <x:r>
          <x:t>Engineering allowance; supplier subassembly fabrication included</x:t>
        </x:r>
      </x:text>
    </x:comment>
    <x:comment ref="A61" authorId="0">
      <x:text>
        <x:r>
          <x:t>Engineering allowance; supplier subassembly fabrication included</x:t>
        </x:r>
      </x:text>
    </x:comment>
    <x:comment ref="A62" authorId="0">
      <x:text>
        <x:r>
          <x:t>Engineering allowance; supplier subassembly fabrication included</x:t>
        </x:r>
      </x:text>
    </x:comment>
    <x:comment ref="A63" authorId="0">
      <x:text>
        <x:r>
          <x:t>Engineering allowance; supplier subassembly fabrication included</x:t>
        </x:r>
      </x:text>
    </x:comment>
    <x:comment ref="A64" authorId="0">
      <x:text>
        <x:r>
          <x:t>Engineering allowance; supplier subassembly fabrication included</x:t>
        </x:r>
      </x:text>
    </x:comment>
    <x:comment ref="A65" authorId="0">
      <x:text>
        <x:r>
          <x:t>Engineering allowance; replaces deleted brake/support functions</x:t>
        </x:r>
      </x:text>
    </x:comment>
    <x:comment ref="A66" authorId="0">
      <x:text>
        <x:r>
          <x:t>Replaces current assembly hours, not an addition to them</x:t>
        </x:r>
      </x:text>
    </x:comment>
    <x:comment ref="A67" authorId="0">
      <x:text>
        <x:r>
          <x:t>Author multiplier on the remaining current scope</x:t>
        </x:r>
      </x:text>
    </x:comment>
    <x:comment ref="A68" authorId="0">
      <x:text>
        <x:r>
          <x:t>Supply only; install / metrology separate. LIM conductor extra if selected.</x:t>
        </x:r>
      </x:text>
    </x:comment>
    <x:comment ref="A69" authorId="0">
      <x:text>
        <x:r>
          <x:t>800 brackets per dual route-km; supply only, installation in labour.</x:t>
        </x:r>
      </x:text>
    </x:comment>
    <x:comment ref="A70" authorId="0">
      <x:text>
        <x:r>
          <x:t>Author multiplier on the remaining current scope</x:t>
        </x:r>
      </x:text>
    </x:comment>
    <x:comment ref="A71" authorId="0">
      <x:text>
        <x:r>
          <x:t>Author multiplier on the remaining current scope</x:t>
        </x:r>
      </x:text>
    </x:comment>
    <x:comment ref="A72" authorId="0">
      <x:text>
        <x:r>
          <x:t>Author multiplier on the remaining current scope</x:t>
        </x:r>
      </x:text>
    </x:comment>
    <x:comment ref="A73" authorId="0">
      <x:text>
        <x:r>
          <x:t>Author multiplier on the remaining current scope</x:t>
        </x:r>
      </x:text>
    </x:comment>
    <x:comment ref="A74" authorId="0">
      <x:text>
        <x:r>
          <x:t>Author multiplier on the remaining current scope</x:t>
        </x:r>
      </x:text>
    </x:comment>
    <x:comment ref="A75" authorId="0">
      <x:text>
        <x:r>
          <x:t>Author multiplier on the remaining current scope</x:t>
        </x:r>
      </x:text>
    </x:comment>
    <x:comment ref="A76" authorId="0">
      <x:text>
        <x:r>
          <x:t>Author multiplier on the remaining current scope</x:t>
        </x:r>
      </x:text>
    </x:comment>
    <x:comment ref="A77" authorId="0">
      <x:text>
        <x:r>
          <x:t>Author multiplier on the remaining current scope</x:t>
        </x:r>
      </x:text>
    </x:comment>
    <x:comment ref="A78" authorId="0">
      <x:text>
        <x:r>
          <x:t>Author multiplier on the remaining current scope</x:t>
        </x:r>
      </x:text>
    </x:comment>
    <x:comment ref="A79" authorId="0">
      <x:text>
        <x:r>
          <x:t>Pilot programme allowance; no commercial system approval implied</x:t>
        </x:r>
      </x:text>
    </x:comment>
    <x:comment ref="A80" authorId="0">
      <x:text>
        <x:r>
          <x:t>Pilot programme allowance; no commercial system approval implied</x:t>
        </x:r>
      </x:text>
    </x:comment>
    <x:comment ref="A81" authorId="0">
      <x:text>
        <x:r>
          <x:t>Pilot programme allowance; no commercial system approval implied</x:t>
        </x:r>
      </x:text>
    </x:comment>
    <x:comment ref="A82" authorId="0">
      <x:text>
        <x:r>
          <x:t>Pilot programme allowance; no commercial system approval implied</x:t>
        </x:r>
      </x:text>
    </x:comment>
    <x:comment ref="A83" authorId="0">
      <x:text>
        <x:r>
          <x:t>Pilot programme allowance; no commercial system approval implied</x:t>
        </x:r>
      </x:text>
    </x:comment>
    <x:comment ref="A84" authorId="0">
      <x:text>
        <x:r>
          <x:t>Pilot programme allowance; no commercial system approval implied</x:t>
        </x:r>
      </x:text>
    </x:comment>
    <x:comment ref="A85" authorId="0">
      <x:text>
        <x:r>
          <x:t>Pilot programme allowance; no commercial system approval implied</x:t>
        </x:r>
      </x:text>
    </x:comment>
    <x:comment ref="A86" authorId="0">
      <x:text>
        <x:r>
          <x:t>Separate from repeat-train 20% premium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.00"/>
    <x:numFmt numFmtId="202" formatCode="0.0%;(0.0%);&quot;–&quot;"/>
    <x:numFmt numFmtId="203" formatCode="#,##0;(#,##0);&quot;–&quot;"/>
    <x:numFmt numFmtId="204" formatCode="0.00x"/>
    <x:numFmt numFmtId="205" formatCode="$#,##0;($#,##0);&quot;–&quot;"/>
  </x:numFmts>
  <x:fonts count="14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sz val="10"/>
      <x:color rgb="FF5A687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0"/>
      <x:name val="Arial"/>
    </x:font>
    <x:font>
      <x:b/>
      <x:sz val="10"/>
      <x:color rgb="FF000000"/>
      <x:name val="Arial"/>
    </x:font>
    <x:font>
      <x:b/>
      <x:sz val="10"/>
      <x:color rgb="FF008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9F4F4"/>
      </x:patternFill>
    </x:fill>
    <x:fill>
      <x:patternFill patternType="solid">
        <x:fgColor rgb="FF203E4A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203E4A"/>
      </x:top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vertical="center"/>
    </x:xf>
    <x:xf numFmtId="0" fontId="12" fillId="2" borderId="1" xfId="0" applyNumberFormat="1" applyFont="1" applyFill="1" applyBorder="1" applyAlignment="1">
      <x:alignment vertical="center"/>
    </x:xf>
    <x:xf numFmtId="205" fontId="10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5" fontId="12" fillId="2" borderId="1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205" fontId="13" fillId="0" borderId="0" xfId="0" applyNumberFormat="1" applyFont="1" applyFill="1" applyBorder="1" applyAlignment="1">
      <x:alignment vertical="center"/>
    </x:xf>
    <x:xf numFmtId="205" fontId="12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5" fontId="13" fillId="0" borderId="1" xfId="0" applyNumberFormat="1" applyFont="1" applyFill="1" applyBorder="1" applyAlignment="1">
      <x:alignment vertical="center"/>
    </x:xf>
    <x:xf numFmtId="205" fontId="12" fillId="0" borderId="1" xfId="0" applyNumberFormat="1" applyFont="1" applyFill="1" applyBorder="1" applyAlignment="1">
      <x:alignment vertical="center"/>
    </x:xf>
    <x:xf numFmtId="202" fontId="12" fillId="0" borderId="1" xfId="0" applyNumberFormat="1" applyFont="1" applyFill="1" applyBorder="1" applyAlignment="1">
      <x:alignment vertical="center"/>
    </x:xf>
    <x:xf numFmtId="205" fontId="13" fillId="2" borderId="1" xfId="0" applyNumberFormat="1" applyFont="1" applyFill="1" applyBorder="1" applyAlignment="1">
      <x:alignment vertical="center"/>
    </x:xf>
    <x:xf numFmtId="202" fontId="12" fillId="2" borderId="1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7c75db0a94bd1" /><Relationship Type="http://schemas.openxmlformats.org/officeDocument/2006/relationships/theme" Target="/xl/theme/theme1.xml" Id="Rbadfae7ac5ba41ad" /><Relationship Type="http://schemas.openxmlformats.org/officeDocument/2006/relationships/sharedStrings" Target="/xl/sharedStrings.xml" Id="Rd2509eb5965c4da8" /><Relationship Type="http://schemas.openxmlformats.org/officeDocument/2006/relationships/worksheet" Target="/xl/worksheets/sheet1.xml" Id="R3cc0818e3ef043ee" /><Relationship Type="http://schemas.openxmlformats.org/officeDocument/2006/relationships/worksheet" Target="/xl/worksheets/sheet2.xml" Id="Ra576f50871c14706" /><Relationship Type="http://schemas.openxmlformats.org/officeDocument/2006/relationships/worksheet" Target="/xl/worksheets/sheet3.xml" Id="R5d6b65bfa3a547c1" /><Relationship Type="http://schemas.openxmlformats.org/officeDocument/2006/relationships/worksheet" Target="/xl/worksheets/sheet4.xml" Id="R1dddf921bbdc4f25" /><Relationship Type="http://schemas.openxmlformats.org/officeDocument/2006/relationships/worksheet" Target="/xl/worksheets/sheet5.xml" Id="R81794b58fe4e4e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400aec11c9ff477d" /><Relationship Type="http://schemas.openxmlformats.org/officeDocument/2006/relationships/vmlDrawing" Target="/xl/drawings/vmldrawing.vml" Id="Ra42116b4f19046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eaaca0da18774be8" /><Relationship Type="http://schemas.openxmlformats.org/officeDocument/2006/relationships/vmlDrawing" Target="/xl/drawings/vmldrawing2.vml" Id="R8cebd06faabc4933" /></Relationships>
</file>

<file path=xl/worksheets/sheet1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98" hidden="0" customWidth="1"/>
  </x:cols>
  <x:sheetData>
    <x:row r="1" ht="31" customHeight="1">
      <x:c r="A1" s="5" t="str">
        <x:v>OpenSourceRail ferrite maglev — cost comparison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Study revision A • 20 October 2026 • Current repository pinned to 50010ce56370 • Conditional estimates, not quotations.</x:v>
      </x:c>
      <x:c r="B2" s="6"/>
      <x:c r="C2" s="6"/>
      <x:c r="D2" s="6"/>
      <x:c r="E2" s="6"/>
      <x:c r="F2" s="6"/>
      <x:c r="G2" s="3"/>
      <x:c r="H2" s="3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39" t="str">
        <x:v>Active scenario</x:v>
      </x:c>
      <x:c r="B4" s="40" t="str">
        <x:f>Inputs!D4</x:f>
        <x:v>Base</x:v>
      </x:c>
      <x:c r="C4" s="39" t="str">
        <x:v>Ferrite kg/car</x:v>
      </x:c>
      <x:c r="D4" s="40" t="n">
        <x:f>Inputs!B5</x:f>
        <x:v>3000</x:v>
      </x:c>
      <x:c r="E4" s="39" t="str">
        <x:v>Gross kWh/car</x:v>
      </x:c>
      <x:c r="F4" s="40" t="n">
        <x:f>Inputs!B6</x:f>
        <x:v>225</x:v>
      </x:c>
      <x:c r="G4" s="3"/>
      <x:c r="H4" s="3"/>
    </x:row>
    <x:row r="5" ht="22" customHeight="1">
      <x:c r="A5" s="3"/>
      <x:c r="B5" s="3"/>
      <x:c r="C5" s="3"/>
      <x:c r="D5" s="3"/>
      <x:c r="E5" s="3"/>
      <x:c r="F5" s="3"/>
      <x:c r="G5" s="3"/>
      <x:c r="H5" s="3"/>
    </x:row>
    <x:row r="6" ht="25" customHeight="1">
      <x:c r="A6" s="13" t="str">
        <x:v>Matched scope</x:v>
      </x:c>
      <x:c r="B6" s="13" t="str">
        <x:v>Current</x:v>
      </x:c>
      <x:c r="C6" s="13" t="str">
        <x:v>Proposed</x:v>
      </x:c>
      <x:c r="D6" s="13" t="str">
        <x:v>Change</x:v>
      </x:c>
      <x:c r="E6" s="13" t="str">
        <x:v>Change %</x:v>
      </x:c>
      <x:c r="F6" s="13"/>
      <x:c r="G6" s="3"/>
      <x:c r="H6" s="3"/>
    </x:row>
    <x:row r="7" ht="28" customHeight="1">
      <x:c r="A7" s="50" t="str">
        <x:v>Three-car factory-gate train</x:v>
      </x:c>
      <x:c r="B7" s="48" t="n">
        <x:f>Vehicle!B25</x:f>
        <x:v>885205.4160000001</x:v>
      </x:c>
      <x:c r="C7" s="48" t="n">
        <x:f>Vehicle!C25</x:f>
        <x:v>872197.4160000001</x:v>
      </x:c>
      <x:c r="D7" s="33" t="n">
        <x:f>C7-B7</x:f>
        <x:v>-13008</x:v>
      </x:c>
      <x:c r="E7" s="49" t="n">
        <x:f>C7/B7-1</x:f>
        <x:v>-0.014694894275251502</x:v>
      </x:c>
      <x:c r="F7" s="28"/>
      <x:c r="G7" s="3"/>
      <x:c r="H7" s="3"/>
    </x:row>
    <x:row r="8" ht="28" customHeight="1">
      <x:c r="A8" s="21" t="str">
        <x:v>Factory-gate arithmetic per car</x:v>
      </x:c>
      <x:c r="B8" s="30" t="n">
        <x:f>Vehicle!B26</x:f>
        <x:v>295068.472</x:v>
      </x:c>
      <x:c r="C8" s="30" t="n">
        <x:f>Vehicle!C26</x:f>
        <x:v>290732.472</x:v>
      </x:c>
      <x:c r="D8" s="31" t="n">
        <x:f>C8-B8</x:f>
        <x:v>-4336</x:v>
      </x:c>
      <x:c r="E8" s="20" t="n">
        <x:f>C8/B8-1</x:f>
        <x:v>-0.014694894275251502</x:v>
      </x:c>
      <x:c r="F8" s="3"/>
      <x:c r="G8" s="3"/>
      <x:c r="H8" s="3"/>
    </x:row>
    <x:row r="9" ht="28" customHeight="1">
      <x:c r="A9" s="50" t="str">
        <x:v>Elevated guideway / dual route-km</x:v>
      </x:c>
      <x:c r="B9" s="48" t="n">
        <x:f>Civil!B19</x:f>
        <x:v>9748000</x:v>
      </x:c>
      <x:c r="C9" s="48" t="n">
        <x:f>Civil!D19</x:f>
        <x:v>8345876</x:v>
      </x:c>
      <x:c r="D9" s="33" t="n">
        <x:f>C9-B9</x:f>
        <x:v>-1402124</x:v>
      </x:c>
      <x:c r="E9" s="49" t="n">
        <x:f>C9/B9-1</x:f>
        <x:v>-0.14383709478867457</x:v>
      </x:c>
      <x:c r="F9" s="28"/>
      <x:c r="G9" s="3"/>
      <x:c r="H9" s="3"/>
    </x:row>
    <x:row r="10" ht="28" customHeight="1">
      <x:c r="A10" s="21" t="str">
        <x:v>Target tare / car (kg)</x:v>
      </x:c>
      <x:c r="B10" s="41" t="n">
        <x:f>Vehicle!B35</x:f>
        <x:v>26250</x:v>
      </x:c>
      <x:c r="C10" s="41" t="n">
        <x:f>Vehicle!C35</x:f>
        <x:v>18750</x:v>
      </x:c>
      <x:c r="D10" s="17" t="n">
        <x:f>C10-B10</x:f>
        <x:v>-7500</x:v>
      </x:c>
      <x:c r="E10" s="20" t="n">
        <x:f>C10/B10-1</x:f>
        <x:v>-0.2857142857142857</x:v>
      </x:c>
      <x:c r="F10" s="3"/>
      <x:c r="G10" s="3"/>
      <x:c r="H10" s="3"/>
    </x:row>
    <x:row r="11" ht="28" customHeight="1">
      <x:c r="A11" s="21" t="str">
        <x:v>AW3 loaded mass / car (kg)</x:v>
      </x:c>
      <x:c r="B11" s="41" t="n">
        <x:f>Vehicle!B37</x:f>
        <x:v>38250</x:v>
      </x:c>
      <x:c r="C11" s="41" t="n">
        <x:f>Vehicle!C37</x:f>
        <x:v>30750</x:v>
      </x:c>
      <x:c r="D11" s="17" t="n">
        <x:f>C11-B11</x:f>
        <x:v>-7500</x:v>
      </x:c>
      <x:c r="E11" s="20" t="n">
        <x:f>C11/B11-1</x:f>
        <x:v>-0.196078431372549</x:v>
      </x:c>
      <x:c r="F11" s="3"/>
      <x:c r="G11" s="3"/>
      <x:c r="H11" s="3"/>
    </x:row>
    <x:row r="12" ht="28" customHeight="1">
      <x:c r="A12" s="21" t="str">
        <x:v>Gross battery / car (kWh)</x:v>
      </x:c>
      <x:c r="B12" s="41" t="n">
        <x:f>Vehicle!B39</x:f>
        <x:v>225</x:v>
      </x:c>
      <x:c r="C12" s="41" t="n">
        <x:f>Vehicle!C39</x:f>
        <x:v>225</x:v>
      </x:c>
      <x:c r="D12" s="17" t="n">
        <x:f>C12-B12</x:f>
        <x:v>0</x:v>
      </x:c>
      <x:c r="E12" s="20" t="n">
        <x:f>C12/B12-1</x:f>
        <x:v>0</x:v>
      </x:c>
      <x:c r="F12" s="3"/>
      <x:c r="G12" s="3"/>
      <x:c r="H12" s="3"/>
    </x:row>
    <x:row r="13" ht="28" customHeight="1">
      <x:c r="A13" s="21"/>
      <x:c r="B13" s="3"/>
      <x:c r="C13" s="3"/>
      <x:c r="D13" s="3"/>
      <x:c r="E13" s="3"/>
      <x:c r="F13" s="3"/>
      <x:c r="G13" s="3"/>
      <x:c r="H13" s="3"/>
    </x:row>
    <x:row r="14" ht="28" customHeight="1">
      <x:c r="A14" s="21"/>
      <x:c r="B14" s="3"/>
      <x:c r="C14" s="3"/>
      <x:c r="D14" s="3"/>
      <x:c r="E14" s="3"/>
      <x:c r="F14" s="3"/>
      <x:c r="G14" s="3"/>
      <x:c r="H14" s="3"/>
    </x:row>
    <x:row r="15" ht="28" customHeight="1">
      <x:c r="A15" s="22" t="str">
        <x:v>SCALING EXAMPLE — guideway and trains only, not a complete project budget</x:v>
      </x:c>
      <x:c r="B15" s="13"/>
      <x:c r="C15" s="13"/>
      <x:c r="D15" s="13"/>
      <x:c r="E15" s="13"/>
      <x:c r="F15" s="13"/>
      <x:c r="G15" s="3"/>
      <x:c r="H15" s="3"/>
    </x:row>
    <x:row r="16" ht="28" customHeight="1">
      <x:c r="A16" s="21" t="str">
        <x:v>Elevated dual-direction route-km</x:v>
      </x:c>
      <x:c r="B16" s="23" t="n">
        <x:f>Inputs!B7</x:f>
        <x:v>100</x:v>
      </x:c>
      <x:c r="C16" s="3"/>
      <x:c r="D16" s="3"/>
      <x:c r="E16" s="3"/>
      <x:c r="F16" s="3"/>
      <x:c r="G16" s="3"/>
      <x:c r="H16" s="3"/>
    </x:row>
    <x:row r="17" ht="28" customHeight="1">
      <x:c r="A17" s="21" t="str">
        <x:v>Three-car trains</x:v>
      </x:c>
      <x:c r="B17" s="23" t="n">
        <x:f>Inputs!B8</x:f>
        <x:v>100</x:v>
      </x:c>
      <x:c r="C17" s="3"/>
      <x:c r="D17" s="3"/>
      <x:c r="E17" s="3"/>
      <x:c r="F17" s="3"/>
      <x:c r="G17" s="3"/>
      <x:c r="H17" s="3"/>
    </x:row>
    <x:row r="18" ht="28" customHeight="1">
      <x:c r="A18" s="21"/>
      <x:c r="B18" s="3"/>
      <x:c r="C18" s="3"/>
      <x:c r="D18" s="3"/>
      <x:c r="E18" s="3"/>
      <x:c r="F18" s="3"/>
      <x:c r="G18" s="3"/>
      <x:c r="H18" s="3"/>
    </x:row>
    <x:row r="19" ht="28" customHeight="1">
      <x:c r="A19" s="21" t="str">
        <x:v>Guideway construction subtotal</x:v>
      </x:c>
      <x:c r="B19" s="31" t="n">
        <x:f>B9*B16</x:f>
        <x:v>974800000</x:v>
      </x:c>
      <x:c r="C19" s="31" t="n">
        <x:f>C9*B16</x:f>
        <x:v>834587600</x:v>
      </x:c>
      <x:c r="D19" s="31" t="n">
        <x:f>C19-B19</x:f>
        <x:v>-140212400</x:v>
      </x:c>
      <x:c r="E19" s="3"/>
      <x:c r="F19" s="3"/>
      <x:c r="G19" s="3"/>
      <x:c r="H19" s="3"/>
    </x:row>
    <x:row r="20" ht="28" customHeight="1">
      <x:c r="A20" s="21" t="str">
        <x:v>Mature train factory-gate subtotal</x:v>
      </x:c>
      <x:c r="B20" s="31" t="n">
        <x:f>B7*B17</x:f>
        <x:v>88520541.60000001</x:v>
      </x:c>
      <x:c r="C20" s="31" t="n">
        <x:f>C7*B17</x:f>
        <x:v>87219741.60000001</x:v>
      </x:c>
      <x:c r="D20" s="31" t="n">
        <x:f>C20-B20</x:f>
        <x:v>-1300800</x:v>
      </x:c>
      <x:c r="E20" s="3"/>
      <x:c r="F20" s="3"/>
      <x:c r="G20" s="3"/>
      <x:c r="H20" s="3"/>
    </x:row>
    <x:row r="21" ht="28" customHeight="1">
      <x:c r="A21" s="50" t="str">
        <x:v>Combined stated-scope subtotal</x:v>
      </x:c>
      <x:c r="B21" s="33" t="n">
        <x:f>SUM(B19:B20)</x:f>
        <x:v>1063320541.6</x:v>
      </x:c>
      <x:c r="C21" s="33" t="n">
        <x:f>SUM(C19:C20)</x:f>
        <x:v>921807341.6</x:v>
      </x:c>
      <x:c r="D21" s="33" t="n">
        <x:f>C21-B21</x:f>
        <x:v>-141513200</x:v>
      </x:c>
      <x:c r="E21" s="49" t="n">
        <x:f>C21/B21-1</x:f>
        <x:v>-0.133086115111688</x:v>
      </x:c>
      <x:c r="F21" s="28"/>
      <x:c r="G21" s="3"/>
      <x:c r="H21" s="3"/>
    </x:row>
    <x:row r="22" ht="28" customHeight="1">
      <x:c r="A22" s="21"/>
      <x:c r="B22" s="32"/>
      <x:c r="C22" s="32"/>
      <x:c r="D22" s="32"/>
      <x:c r="E22" s="3"/>
      <x:c r="F22" s="3"/>
      <x:c r="G22" s="3"/>
      <x:c r="H22" s="3"/>
    </x:row>
    <x:row r="23" ht="28" customHeight="1">
      <x:c r="A23" s="21" t="str">
        <x:v>Separate first-pilot budget (includes first train)</x:v>
      </x:c>
      <x:c r="B23" s="32"/>
      <x:c r="C23" s="30" t="n">
        <x:f>Pilot!C15</x:f>
        <x:v>23220000</x:v>
      </x:c>
      <x:c r="D23" s="32"/>
      <x:c r="E23" s="3"/>
      <x:c r="F23" s="3"/>
      <x:c r="G23" s="3"/>
      <x:c r="H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</x:row>
    <x:row r="25" ht="22" customHeight="1">
      <x:c r="A25" s="21" t="str">
        <x:v>Common and changed programme scope still to price: stations, depots, turnback loops, chargers/grid, signalling, land/utilities, special structures, plant, spares, commissioning, EPC, tax and finance. The 100-set example is not a fleet-sizing result. Baghdad uses six-car sets and cannot be substituted one for one.</x:v>
      </x:c>
      <x:c r="B25" s="21"/>
      <x:c r="C25" s="21"/>
      <x:c r="D25" s="21"/>
      <x:c r="E25" s="21"/>
      <x:c r="F25" s="21"/>
      <x:c r="G25" s="3"/>
      <x:c r="H25" s="3"/>
    </x:row>
    <x:row r="26" ht="22" customHeight="1">
      <x:c r="A26" s="21"/>
      <x:c r="B26" s="21"/>
      <x:c r="C26" s="21"/>
      <x:c r="D26" s="21"/>
      <x:c r="E26" s="21"/>
      <x:c r="F26" s="21"/>
      <x:c r="G26" s="3"/>
      <x:c r="H26" s="3"/>
    </x:row>
    <x:row r="27" ht="22" customHeight="1">
      <x:c r="A27" s="21"/>
      <x:c r="B27" s="21"/>
      <x:c r="C27" s="21"/>
      <x:c r="D27" s="21"/>
      <x:c r="E27" s="21"/>
      <x:c r="F27" s="21"/>
      <x:c r="G27" s="3"/>
      <x:c r="H27" s="3"/>
    </x:row>
    <x:row r="28" ht="22" customHeight="1">
      <x:c r="A28" s="21"/>
      <x:c r="B28" s="21"/>
      <x:c r="C28" s="21"/>
      <x:c r="D28" s="21"/>
      <x:c r="E28" s="21"/>
      <x:c r="F28" s="21"/>
      <x:c r="G28" s="3"/>
      <x:c r="H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</x:row>
    <x:row r="30" ht="25" customHeight="1">
      <x:c r="A30" s="13" t="str">
        <x:v>OPTIONAL LIFE-CYCLE BREAK-EVEN SCREEN</x:v>
      </x:c>
      <x:c r="B30" s="13"/>
      <x:c r="C30" s="13"/>
      <x:c r="D30" s="13"/>
      <x:c r="E30" s="13"/>
      <x:c r="F30" s="13"/>
      <x:c r="G30" s="3"/>
      <x:c r="H30" s="3"/>
    </x:row>
    <x:row r="31" ht="22" customHeight="1">
      <x:c r="A31" s="3" t="str">
        <x:v>Discount rate / years</x:v>
      </x:c>
      <x:c r="B31" s="38" t="n">
        <x:f>Inputs!B9</x:f>
        <x:v>0.05</x:v>
      </x:c>
      <x:c r="C31" s="23" t="n">
        <x:f>Inputs!B10</x:f>
        <x:v>30</x:v>
      </x:c>
      <x:c r="D31" s="3"/>
      <x:c r="E31" s="3"/>
      <x:c r="F31" s="3"/>
      <x:c r="G31" s="3"/>
      <x:c r="H31" s="3"/>
    </x:row>
    <x:row r="32" ht="22" customHeight="1">
      <x:c r="A32" s="3" t="str">
        <x:v>Present-value factor for annual costs</x:v>
      </x:c>
      <x:c r="B32" s="3"/>
      <x:c r="C32" s="19" t="n">
        <x:f>IF(B31=0,C31,(1-(1+B31)^(-C31))/B31)</x:f>
        <x:v>15.372451026882842</x:v>
      </x:c>
      <x:c r="D32" s="3"/>
      <x:c r="E32" s="3"/>
      <x:c r="F32" s="3"/>
      <x:c r="G32" s="3"/>
      <x:c r="H32" s="3"/>
    </x:row>
    <x:row r="33" ht="22" customHeight="1">
      <x:c r="A33" s="3" t="str">
        <x:v>Annual vehicle saving needed if capex is higher</x:v>
      </x:c>
      <x:c r="B33" s="3"/>
      <x:c r="C33" s="31" t="n">
        <x:f>MAX(0,C7-B7)/C32</x:f>
        <x:v>0</x:v>
      </x:c>
      <x:c r="D33" s="3"/>
      <x:c r="E33" s="3"/>
      <x:c r="F33" s="3"/>
      <x:c r="G33" s="3"/>
      <x:c r="H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</x:row>
    <x:row r="35" ht="22" customHeight="1">
      <x:c r="A35" s="21" t="str">
        <x:v>No maintenance saving is assumed. Compare lost wheel/gear/bearing work against new coil, power-electronic, cooling, sensing and guideway-alignment work; include blockage and rescue time. This annual-cost screen covers train capex difference only, excluding incremental development and civil costs.</x:v>
      </x:c>
      <x:c r="B35" s="21"/>
      <x:c r="C35" s="21"/>
      <x:c r="D35" s="21"/>
      <x:c r="E35" s="21"/>
      <x:c r="F35" s="21"/>
      <x:c r="G35" s="3"/>
      <x:c r="H35" s="3"/>
    </x:row>
    <x:row r="36" ht="22" customHeight="1">
      <x:c r="A36" s="21"/>
      <x:c r="B36" s="21"/>
      <x:c r="C36" s="21"/>
      <x:c r="D36" s="21"/>
      <x:c r="E36" s="21"/>
      <x:c r="F36" s="21"/>
      <x:c r="G36" s="3"/>
      <x:c r="H36" s="3"/>
    </x:row>
    <x:row r="37" ht="22" customHeight="1">
      <x:c r="A37" s="21"/>
      <x:c r="B37" s="21"/>
      <x:c r="C37" s="21"/>
      <x:c r="D37" s="21"/>
      <x:c r="E37" s="21"/>
      <x:c r="F37" s="21"/>
      <x:c r="G37" s="3"/>
      <x:c r="H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</x:row>
    <x:row r="39" ht="22" customHeight="1">
      <x:c r="A39" s="21" t="str">
        <x:v>Read Vehicle for deletions/additions, Civil for the installed-scope build, Pilot for development, and Inputs for evidence and scenario assumptions. The full rework specification explains the magnetic, curve, thermal and safety gates.</x:v>
      </x:c>
      <x:c r="B39" s="21"/>
      <x:c r="C39" s="21"/>
      <x:c r="D39" s="21"/>
      <x:c r="E39" s="21"/>
      <x:c r="F39" s="21"/>
      <x:c r="G39" s="3"/>
      <x:c r="H39" s="3"/>
    </x:row>
    <x:row r="40" ht="22" customHeight="1">
      <x:c r="A40" s="21"/>
      <x:c r="B40" s="21"/>
      <x:c r="C40" s="21"/>
      <x:c r="D40" s="21"/>
      <x:c r="E40" s="21"/>
      <x:c r="F40" s="21"/>
      <x:c r="G40" s="3"/>
      <x:c r="H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</x:row>
  </x:sheetData>
  <x:mergeCells>
    <x:mergeCell ref="A1:F1"/>
    <x:mergeCell ref="A2:F2"/>
    <x:mergeCell ref="A15:F15"/>
    <x:mergeCell ref="A25:F28"/>
    <x:mergeCell ref="A30:F30"/>
    <x:mergeCell ref="A35:F37"/>
    <x:mergeCell ref="A39:F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98" hidden="0" customWidth="1"/>
  </x:cols>
  <x:sheetData>
    <x:row r="1" ht="31" customHeight="1">
      <x:c r="A1" s="5" t="str">
        <x:v>Vehicle construction and mass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Matched passenger capacity; battery choice is explicit. Factory gate excludes engineering, plant, warranty and initial spares.</x:v>
      </x:c>
      <x:c r="B2" s="6"/>
      <x:c r="C2" s="6"/>
      <x:c r="D2" s="6"/>
      <x:c r="E2" s="6"/>
      <x:c r="F2" s="6"/>
      <x:c r="G2" s="3"/>
      <x:c r="H2" s="3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3"/>
      <x:c r="B4" s="3"/>
      <x:c r="C4" s="3"/>
      <x:c r="D4" s="3"/>
      <x:c r="E4" s="3"/>
      <x:c r="F4" s="3"/>
      <x:c r="G4" s="3"/>
      <x:c r="H4" s="3"/>
    </x:row>
    <x:row r="5" ht="25" customHeight="1">
      <x:c r="A5" s="13" t="str">
        <x:v>Cost build</x:v>
      </x:c>
      <x:c r="B5" s="13" t="str">
        <x:v>Current USD/train</x:v>
      </x:c>
      <x:c r="C5" s="13" t="str">
        <x:v>Proposed USD/train</x:v>
      </x:c>
      <x:c r="D5" s="13" t="str">
        <x:v>Change USD</x:v>
      </x:c>
      <x:c r="E5" s="13" t="str">
        <x:v>Scope</x:v>
      </x:c>
      <x:c r="F5" s="13"/>
      <x:c r="G5" s="3"/>
      <x:c r="H5" s="3"/>
    </x:row>
    <x:row r="6" ht="37" customHeight="1">
      <x:c r="A6" s="21" t="str">
        <x:v>Retained reference direct materials</x:v>
      </x:c>
      <x:c r="B6" s="30" t="n">
        <x:f>Inputs!$C$17</x:f>
        <x:v>682431.18</x:v>
      </x:c>
      <x:c r="C6" s="31" t="n">
        <x:f>B6</x:f>
        <x:v>682431.18</x:v>
      </x:c>
      <x:c r="D6" s="32"/>
      <x:c r="E6" s="21"/>
      <x:c r="F6" s="21"/>
      <x:c r="G6" s="3"/>
      <x:c r="H6" s="3"/>
    </x:row>
    <x:row r="7" ht="37" customHeight="1">
      <x:c r="A7" s="21" t="str">
        <x:v>Remove G1_G21</x:v>
      </x:c>
      <x:c r="B7" s="32"/>
      <x:c r="C7" s="30" t="n">
        <x:f>-Inputs!$C$36</x:f>
        <x:v>-125600</x:v>
      </x:c>
      <x:c r="D7" s="32"/>
      <x:c r="E7" s="21" t="str">
        <x:v>Complete six-bogie group including frames, wheels, bearings, mechanical brakes and suspension</x:v>
      </x:c>
      <x:c r="F7" s="21"/>
      <x:c r="G7" s="3"/>
      <x:c r="H7" s="3"/>
    </x:row>
    <x:row r="8" ht="37" customHeight="1">
      <x:c r="A8" s="21" t="str">
        <x:v>Remove T1</x:v>
      </x:c>
      <x:c r="B8" s="32"/>
      <x:c r="C8" s="30" t="n">
        <x:f>-Inputs!$C$37</x:f>
        <x:v>-36000</x:v>
      </x:c>
      <x:c r="D8" s="32"/>
      <x:c r="E8" s="21" t="str">
        <x:v>Six rotary traction motors</x:v>
      </x:c>
      <x:c r="F8" s="21"/>
      <x:c r="G8" s="3"/>
      <x:c r="H8" s="3"/>
    </x:row>
    <x:row r="9" ht="37" customHeight="1">
      <x:c r="A9" s="21" t="str">
        <x:v>Remove T2</x:v>
      </x:c>
      <x:c r="B9" s="32"/>
      <x:c r="C9" s="30" t="n">
        <x:f>-Inputs!$C$38</x:f>
        <x:v>-15000</x:v>
      </x:c>
      <x:c r="D9" s="32"/>
      <x:c r="E9" s="21" t="str">
        <x:v>Reduction gearboxes</x:v>
      </x:c>
      <x:c r="F9" s="21"/>
      <x:c r="G9" s="3"/>
      <x:c r="H9" s="3"/>
    </x:row>
    <x:row r="10" ht="37" customHeight="1">
      <x:c r="A10" s="21" t="str">
        <x:v>Remove T3</x:v>
      </x:c>
      <x:c r="B10" s="32"/>
      <x:c r="C10" s="30" t="n">
        <x:f>-Inputs!$C$39</x:f>
        <x:v>-24000</x:v>
      </x:c>
      <x:c r="D10" s="32"/>
      <x:c r="E10" s="21" t="str">
        <x:v>Conventional motor controllers</x:v>
      </x:c>
      <x:c r="F10" s="21"/>
      <x:c r="G10" s="3"/>
      <x:c r="H10" s="3"/>
    </x:row>
    <x:row r="11" ht="37" customHeight="1">
      <x:c r="A11" s="21" t="str">
        <x:v>Remove T4</x:v>
      </x:c>
      <x:c r="B11" s="32"/>
      <x:c r="C11" s="30" t="n">
        <x:f>-Inputs!$C$40</x:f>
        <x:v>-6000</x:v>
      </x:c>
      <x:c r="D11" s="32"/>
      <x:c r="E11" s="21" t="str">
        <x:v>Conventional traction cooling</x:v>
      </x:c>
      <x:c r="F11" s="21"/>
      <x:c r="G11" s="3"/>
      <x:c r="H11" s="3"/>
    </x:row>
    <x:row r="12" ht="37" customHeight="1">
      <x:c r="A12" s="21" t="str">
        <x:v>Battery capacity change</x:v>
      </x:c>
      <x:c r="B12" s="32"/>
      <x:c r="C12" s="30" t="n">
        <x:f>-((Inputs!$C$26-Inputs!$B$6*Inputs!$C$16)*Inputs!$C$27/Inputs!$C$26)</x:f>
        <x:v>0</x:v>
      </x:c>
      <x:c r="D12" s="32"/>
      <x:c r="E12" s="21" t="str">
        <x:v>Pack only; BMS / enclosure / cooling retained</x:v>
      </x:c>
      <x:c r="F12" s="21"/>
      <x:c r="G12" s="3"/>
      <x:c r="H12" s="3"/>
    </x:row>
    <x:row r="13" ht="37" customHeight="1">
      <x:c r="A13" s="21" t="str">
        <x:v>Raw ferrite</x:v>
      </x:c>
      <x:c r="B13" s="32"/>
      <x:c r="C13" s="30" t="n">
        <x:f>Inputs!$B$5*Inputs!$C$16*Inputs!$C$25</x:f>
        <x:v>21000</x:v>
      </x:c>
      <x:c r="D13" s="32"/>
      <x:c r="E13" s="21"/>
      <x:c r="F13" s="21"/>
      <x:c r="G13" s="3"/>
      <x:c r="H13" s="3"/>
    </x:row>
    <x:row r="14" ht="37" customHeight="1">
      <x:c r="A14" s="21" t="str">
        <x:v>Magnetic iron, pole pieces and structural module carriers</x:v>
      </x:c>
      <x:c r="B14" s="32"/>
      <x:c r="C14" s="30" t="n">
        <x:f>Inputs!$F$59</x:f>
        <x:v>35000</x:v>
      </x:c>
      <x:c r="D14" s="32"/>
      <x:c r="E14" s="21"/>
      <x:c r="F14" s="21"/>
      <x:c r="G14" s="3"/>
      <x:c r="H14" s="3"/>
    </x:row>
    <x:row r="15" ht="37" customHeight="1">
      <x:c r="A15" s="21" t="str">
        <x:v>Lift, guidance and propulsion windings, insulation and potting</x:v>
      </x:c>
      <x:c r="B15" s="32"/>
      <x:c r="C15" s="30" t="n">
        <x:f>Inputs!$F$60</x:f>
        <x:v>30000</x:v>
      </x:c>
      <x:c r="D15" s="32"/>
      <x:c r="E15" s="21"/>
      <x:c r="F15" s="21"/>
      <x:c r="G15" s="3"/>
      <x:c r="H15" s="3"/>
    </x:row>
    <x:row r="16" ht="37" customHeight="1">
      <x:c r="A16" s="21" t="str">
        <x:v>Magnetic-module inverters/current drivers and local power distribution</x:v>
      </x:c>
      <x:c r="B16" s="32"/>
      <x:c r="C16" s="30" t="n">
        <x:f>Inputs!$F$61</x:f>
        <x:v>30000</x:v>
      </x:c>
      <x:c r="D16" s="32"/>
      <x:c r="E16" s="21"/>
      <x:c r="F16" s="21"/>
      <x:c r="G16" s="3"/>
      <x:c r="H16" s="3"/>
    </x:row>
    <x:row r="17" ht="37" customHeight="1">
      <x:c r="A17" s="21" t="str">
        <x:v>Gap/current/temperature sensing and local control electronics</x:v>
      </x:c>
      <x:c r="B17" s="32"/>
      <x:c r="C17" s="30" t="n">
        <x:f>Inputs!$F$62</x:f>
        <x:v>15000</x:v>
      </x:c>
      <x:c r="D17" s="32"/>
      <x:c r="E17" s="21"/>
      <x:c r="F17" s="21"/>
      <x:c r="G17" s="3"/>
      <x:c r="H17" s="3"/>
    </x:row>
    <x:row r="18" ht="37" customHeight="1">
      <x:c r="A18" s="21" t="str">
        <x:v>Magnetic-module coolant circuit, heat exchangers and protection</x:v>
      </x:c>
      <x:c r="B18" s="32"/>
      <x:c r="C18" s="30" t="n">
        <x:f>Inputs!$F$63</x:f>
        <x:v>10000</x:v>
      </x:c>
      <x:c r="D18" s="32"/>
      <x:c r="E18" s="21"/>
      <x:c r="F18" s="21"/>
      <x:c r="G18" s="3"/>
      <x:c r="H18" s="3"/>
    </x:row>
    <x:row r="19" ht="37" customHeight="1">
      <x:c r="A19" s="21" t="str">
        <x:v>Finished ferrite array assembly, mechanical retention, encapsulation and production QA; excludes raw ferrite</x:v>
      </x:c>
      <x:c r="B19" s="32"/>
      <x:c r="C19" s="30" t="n">
        <x:f>Inputs!$F$64</x:f>
        <x:v>15000</x:v>
      </x:c>
      <x:c r="D19" s="32"/>
      <x:c r="E19" s="21"/>
      <x:c r="F19" s="21"/>
      <x:c r="G19" s="3"/>
      <x:c r="H19" s="3"/>
    </x:row>
    <x:row r="20" ht="37" customHeight="1">
      <x:c r="A20" s="21" t="str">
        <x:v>Capture / landing / emergency and parking brake</x:v>
      </x:c>
      <x:c r="B20" s="32"/>
      <x:c r="C20" s="30" t="n">
        <x:f>Inputs!$F$65</x:f>
        <x:v>30000</x:v>
      </x:c>
      <x:c r="D20" s="32"/>
      <x:c r="E20" s="21"/>
      <x:c r="F20" s="21"/>
      <x:c r="G20" s="3"/>
      <x:c r="H20" s="3"/>
    </x:row>
    <x:row r="21" ht="22" customHeight="1">
      <x:c r="A21" s="28" t="str">
        <x:v>Direct materials and supplier modules</x:v>
      </x:c>
      <x:c r="B21" s="33" t="n">
        <x:f>B6</x:f>
        <x:v>682431.18</x:v>
      </x:c>
      <x:c r="C21" s="33" t="n">
        <x:f>SUM(C6:C20)</x:f>
        <x:v>661831.18</x:v>
      </x:c>
      <x:c r="D21" s="33" t="n">
        <x:f>C21-B21</x:f>
        <x:v>-20600</x:v>
      </x:c>
      <x:c r="E21" s="28"/>
      <x:c r="F21" s="28"/>
      <x:c r="G21" s="3"/>
      <x:c r="H21" s="3"/>
    </x:row>
    <x:row r="22" ht="22" customHeight="1">
      <x:c r="A22" s="3" t="str">
        <x:v>Final integration labour</x:v>
      </x:c>
      <x:c r="B22" s="30" t="n">
        <x:f>Inputs!$C$18*Inputs!$C$19</x:f>
        <x:v>55240</x:v>
      </x:c>
      <x:c r="C22" s="30" t="n">
        <x:f>Inputs!$F$66*Inputs!$C$19</x:f>
        <x:v>65000</x:v>
      </x:c>
      <x:c r="D22" s="32"/>
      <x:c r="E22" s="3"/>
      <x:c r="F22" s="3"/>
      <x:c r="G22" s="3"/>
      <x:c r="H22" s="3"/>
    </x:row>
    <x:row r="23" ht="22" customHeight="1">
      <x:c r="A23" s="3" t="str">
        <x:v>Subtotal before premium</x:v>
      </x:c>
      <x:c r="B23" s="31" t="n">
        <x:f>SUM(B21:B22)</x:f>
        <x:v>737671.18</x:v>
      </x:c>
      <x:c r="C23" s="31" t="n">
        <x:f>SUM(C21:C22)</x:f>
        <x:v>726831.18</x:v>
      </x:c>
      <x:c r="D23" s="32"/>
      <x:c r="E23" s="3"/>
      <x:c r="F23" s="3"/>
      <x:c r="G23" s="3"/>
      <x:c r="H23" s="3"/>
    </x:row>
    <x:row r="24" ht="22" customHeight="1">
      <x:c r="A24" s="3" t="str">
        <x:v>Unexpected-cost premium</x:v>
      </x:c>
      <x:c r="B24" s="30" t="n">
        <x:f>B23*Inputs!$C$20</x:f>
        <x:v>147534.236</x:v>
      </x:c>
      <x:c r="C24" s="30" t="n">
        <x:f>C23*Inputs!$C$20</x:f>
        <x:v>145366.236</x:v>
      </x:c>
      <x:c r="D24" s="32"/>
      <x:c r="E24" s="3"/>
      <x:c r="F24" s="3"/>
      <x:c r="G24" s="3"/>
      <x:c r="H24" s="3"/>
    </x:row>
    <x:row r="25" ht="22" customHeight="1">
      <x:c r="A25" s="28" t="str">
        <x:v>Factory-gate total per three-car train</x:v>
      </x:c>
      <x:c r="B25" s="33" t="n">
        <x:f>SUM(B23:B24)</x:f>
        <x:v>885205.4160000001</x:v>
      </x:c>
      <x:c r="C25" s="33" t="n">
        <x:f>SUM(C23:C24)</x:f>
        <x:v>872197.4160000001</x:v>
      </x:c>
      <x:c r="D25" s="33" t="n">
        <x:f>C25-B25</x:f>
        <x:v>-13008</x:v>
      </x:c>
      <x:c r="E25" s="28"/>
      <x:c r="F25" s="28"/>
      <x:c r="G25" s="3"/>
      <x:c r="H25" s="3"/>
    </x:row>
    <x:row r="26" ht="22" customHeight="1">
      <x:c r="A26" s="3" t="str">
        <x:v>Factory-gate arithmetic per car</x:v>
      </x:c>
      <x:c r="B26" s="30" t="n">
        <x:f>B25/Inputs!$C$16</x:f>
        <x:v>295068.472</x:v>
      </x:c>
      <x:c r="C26" s="30" t="n">
        <x:f>C25/Inputs!$C$16</x:f>
        <x:v>290732.472</x:v>
      </x:c>
      <x:c r="D26" s="31" t="n">
        <x:f>C26-B26</x:f>
        <x:v>-4336</x:v>
      </x:c>
      <x:c r="E26" s="3"/>
      <x:c r="F26" s="3"/>
      <x:c r="G26" s="3"/>
      <x:c r="H26" s="3"/>
    </x:row>
    <x:row r="27" ht="22" customHeight="1">
      <x:c r="A27" s="3"/>
      <x:c r="B27" s="32"/>
      <x:c r="C27" s="32"/>
      <x:c r="D27" s="32"/>
      <x:c r="E27" s="3"/>
      <x:c r="F27" s="3"/>
      <x:c r="G27" s="3"/>
      <x:c r="H27" s="3"/>
    </x:row>
    <x:row r="28" ht="32" customHeight="1">
      <x:c r="A28" s="21" t="str">
        <x:v>Complete magnetic bundle, excluding raw ferrite</x:v>
      </x:c>
      <x:c r="B28" s="32"/>
      <x:c r="C28" s="31" t="n">
        <x:f>SUM(C14:C19)</x:f>
        <x:v>135000</x:v>
      </x:c>
      <x:c r="D28" s="32"/>
      <x:c r="E28" s="3"/>
      <x:c r="F28" s="3"/>
      <x:c r="G28" s="3"/>
      <x:c r="H28" s="3"/>
    </x:row>
    <x:row r="29" ht="32" customHeight="1">
      <x:c r="A29" s="21" t="str">
        <x:v>Break-even magnetic bundle at selected inputs</x:v>
      </x:c>
      <x:c r="B29" s="32"/>
      <x:c r="C29" s="30" t="n">
        <x:f>B25/(1+Inputs!$C$20)-(C21-C28+C22)</x:f>
        <x:v>145840</x:v>
      </x:c>
      <x:c r="D29" s="32"/>
      <x:c r="E29" s="3"/>
      <x:c r="F29" s="3"/>
      <x:c r="G29" s="3"/>
      <x:c r="H29" s="3"/>
    </x:row>
    <x:row r="30" ht="32" customHeight="1">
      <x:c r="A30" s="21" t="str">
        <x:v>Bundle headroom before premium</x:v>
      </x:c>
      <x:c r="B30" s="32"/>
      <x:c r="C30" s="31" t="n">
        <x:f>C29-C28</x:f>
        <x:v>10840</x:v>
      </x:c>
      <x:c r="D30" s="32"/>
      <x:c r="E30" s="3"/>
      <x:c r="F30" s="3"/>
      <x:c r="G30" s="3"/>
      <x:c r="H30" s="3"/>
    </x:row>
    <x:row r="31" ht="32" customHeight="1">
      <x:c r="A31" s="21" t="str">
        <x:v>Magnetic bundle per module equivalent</x:v>
      </x:c>
      <x:c r="B31" s="32"/>
      <x:c r="C31" s="30" t="n">
        <x:f>C28/(Inputs!$C$16*Inputs!$C$35)</x:f>
        <x:v>1875</x:v>
      </x:c>
      <x:c r="D31" s="32"/>
      <x:c r="E31" s="3"/>
      <x:c r="F31" s="3"/>
      <x:c r="G31" s="3"/>
      <x:c r="H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</x:row>
    <x:row r="34" ht="25" customHeight="1">
      <x:c r="A34" s="13" t="str">
        <x:v>Mass / energy allocation</x:v>
      </x:c>
      <x:c r="B34" s="13" t="str">
        <x:v>Current per car</x:v>
      </x:c>
      <x:c r="C34" s="13" t="str">
        <x:v>Proposed per car</x:v>
      </x:c>
      <x:c r="D34" s="13" t="str">
        <x:v>Unit</x:v>
      </x:c>
      <x:c r="E34" s="13"/>
      <x:c r="F34" s="13"/>
      <x:c r="G34" s="3"/>
      <x:c r="H34" s="3"/>
    </x:row>
    <x:row r="35" ht="22" customHeight="1">
      <x:c r="A35" s="3" t="str">
        <x:v>Target tare (not measured)</x:v>
      </x:c>
      <x:c r="B35" s="34" t="n">
        <x:f>Inputs!$C$21/Inputs!$C$16</x:f>
        <x:v>26250</x:v>
      </x:c>
      <x:c r="C35" s="34" t="n">
        <x:f>Inputs!$C$29+(Inputs!$B$5-Inputs!$C$30)+(Inputs!$B$6-Inputs!$C$31)*1000/Inputs!$C$28</x:f>
        <x:v>18750</x:v>
      </x:c>
      <x:c r="D35" s="3" t="str">
        <x:v>kg/car</x:v>
      </x:c>
      <x:c r="E35" s="3"/>
      <x:c r="F35" s="3"/>
      <x:c r="G35" s="3"/>
      <x:c r="H35" s="3"/>
    </x:row>
    <x:row r="36" ht="22" customHeight="1">
      <x:c r="A36" s="3" t="str">
        <x:v>AW2 loaded mass</x:v>
      </x:c>
      <x:c r="B36" s="34" t="n">
        <x:f>B35+Inputs!$C$22*Inputs!$C$24</x:f>
        <x:v>35250</x:v>
      </x:c>
      <x:c r="C36" s="34" t="n">
        <x:f>C35+Inputs!$C$22*Inputs!$C$24</x:f>
        <x:v>27750</x:v>
      </x:c>
      <x:c r="D36" s="3" t="str">
        <x:v>kg/car</x:v>
      </x:c>
      <x:c r="E36" s="3"/>
      <x:c r="F36" s="3"/>
      <x:c r="G36" s="3"/>
      <x:c r="H36" s="3"/>
    </x:row>
    <x:row r="37" ht="22" customHeight="1">
      <x:c r="A37" s="3" t="str">
        <x:v>AW3 loaded mass</x:v>
      </x:c>
      <x:c r="B37" s="34" t="n">
        <x:f>B35+Inputs!$C$23*Inputs!$C$24</x:f>
        <x:v>38250</x:v>
      </x:c>
      <x:c r="C37" s="34" t="n">
        <x:f>C35+Inputs!$C$23*Inputs!$C$24</x:f>
        <x:v>30750</x:v>
      </x:c>
      <x:c r="D37" s="3" t="str">
        <x:v>kg/car</x:v>
      </x:c>
      <x:c r="E37" s="3"/>
      <x:c r="F37" s="3"/>
      <x:c r="G37" s="3"/>
      <x:c r="H37" s="3"/>
    </x:row>
    <x:row r="38" ht="22" customHeight="1">
      <x:c r="A38" s="3" t="str">
        <x:v>AW3 static vertical lift</x:v>
      </x:c>
      <x:c r="B38" s="35"/>
      <x:c r="C38" s="34" t="n">
        <x:f>C37*Inputs!$C$32/1000</x:f>
        <x:v>301.6575</x:v>
      </x:c>
      <x:c r="D38" s="3" t="str">
        <x:v>kN/car</x:v>
      </x:c>
      <x:c r="E38" s="3"/>
      <x:c r="F38" s="3"/>
      <x:c r="G38" s="3"/>
      <x:c r="H38" s="3"/>
    </x:row>
    <x:row r="39" ht="22" customHeight="1">
      <x:c r="A39" s="3" t="str">
        <x:v>Gross battery</x:v>
      </x:c>
      <x:c r="B39" s="34" t="n">
        <x:f>Inputs!$C$26/Inputs!$C$16</x:f>
        <x:v>225</x:v>
      </x:c>
      <x:c r="C39" s="34" t="n">
        <x:f>Inputs!B6</x:f>
        <x:v>225</x:v>
      </x:c>
      <x:c r="D39" s="3" t="str">
        <x:v>kWh/car</x:v>
      </x:c>
      <x:c r="E39" s="3"/>
      <x:c r="F39" s="3"/>
      <x:c r="G39" s="3"/>
      <x:c r="H39" s="3"/>
    </x:row>
    <x:row r="40" ht="22" customHeight="1">
      <x:c r="A40" s="3" t="str">
        <x:v>Battery system mass at study specific energy</x:v>
      </x:c>
      <x:c r="B40" s="35"/>
      <x:c r="C40" s="34" t="n">
        <x:f>C39*1000/Inputs!$C$28</x:f>
        <x:v>2250</x:v>
      </x:c>
      <x:c r="D40" s="3" t="str">
        <x:v>kg/car</x:v>
      </x:c>
      <x:c r="E40" s="3"/>
      <x:c r="F40" s="3"/>
      <x:c r="G40" s="3"/>
      <x:c r="H40" s="3"/>
    </x:row>
    <x:row r="41" ht="22" customHeight="1">
      <x:c r="A41" s="3" t="str">
        <x:v>EOL energy in selected SOC window</x:v>
      </x:c>
      <x:c r="B41" s="34" t="n">
        <x:f>B39*Inputs!$C$33*Inputs!$C$34</x:f>
        <x:v>108</x:v>
      </x:c>
      <x:c r="C41" s="34" t="n">
        <x:f>C39*Inputs!$C$33*Inputs!$C$34</x:f>
        <x:v>108</x:v>
      </x:c>
      <x:c r="D41" s="3" t="str">
        <x:v>kWh/car</x:v>
      </x:c>
      <x:c r="E41" s="3"/>
      <x:c r="F41" s="3"/>
      <x:c r="G41" s="3"/>
      <x:c r="H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</x:row>
    <x:row r="44" ht="22" customHeight="1">
      <x:c r="A44" s="21" t="str">
        <x:v>3–4 t ferrite variation prices raw magnets only. Changes in carriers, coils, rail, cooling and energy must be re-engineered. The 18–19 t tare figures are allocations, not a validated vehicle.</x:v>
      </x:c>
      <x:c r="B44" s="21"/>
      <x:c r="C44" s="21"/>
      <x:c r="D44" s="21"/>
      <x:c r="E44" s="21"/>
      <x:c r="F44" s="21"/>
      <x:c r="G44" s="3"/>
      <x:c r="H44" s="3"/>
    </x:row>
    <x:row r="45" ht="22" customHeight="1">
      <x:c r="A45" s="21"/>
      <x:c r="B45" s="21"/>
      <x:c r="C45" s="21"/>
      <x:c r="D45" s="21"/>
      <x:c r="E45" s="21"/>
      <x:c r="F45" s="21"/>
      <x:c r="G45" s="3"/>
      <x:c r="H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</x:row>
  </x:sheetData>
  <x:mergeCells>
    <x:mergeCell ref="A1:F1"/>
    <x:mergeCell ref="A2:F2"/>
    <x:mergeCell ref="A44:F45"/>
    <x:mergeCell ref="E6:F6"/>
    <x:mergeCell ref="E7:F7"/>
    <x:mergeCell ref="E8:F8"/>
    <x:mergeCell ref="E9:F9"/>
    <x:mergeCell ref="E10:F10"/>
    <x:mergeCell ref="E11:F11"/>
    <x:mergeCell ref="E12:F12"/>
    <x:mergeCell ref="E13:F13"/>
    <x:mergeCell ref="E14:F14"/>
    <x:mergeCell ref="E15:F15"/>
    <x:mergeCell ref="E16:F16"/>
    <x:mergeCell ref="E17:F17"/>
    <x:mergeCell ref="E18:F18"/>
    <x:mergeCell ref="E19:F19"/>
    <x:mergeCell ref="E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98" hidden="0" customWidth="1"/>
  </x:cols>
  <x:sheetData>
    <x:row r="1" ht="31" customHeight="1">
      <x:c r="A1" s="5" t="str">
        <x:v>Elevated civil works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One dual-direction route-km = 2,000 single-direction beam-metres. Stations, depot, charging, land and EPC are separate.</x:v>
      </x:c>
      <x:c r="B2" s="6"/>
      <x:c r="C2" s="6"/>
      <x:c r="D2" s="6"/>
      <x:c r="E2" s="6"/>
      <x:c r="F2" s="6"/>
      <x:c r="G2" s="3"/>
      <x:c r="H2" s="3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3"/>
      <x:c r="B4" s="3"/>
      <x:c r="C4" s="3"/>
      <x:c r="D4" s="3"/>
      <x:c r="E4" s="3"/>
      <x:c r="F4" s="3"/>
      <x:c r="G4" s="3"/>
      <x:c r="H4" s="3"/>
    </x:row>
    <x:row r="5" ht="25" customHeight="1">
      <x:c r="A5" s="13" t="str">
        <x:v>Installed scope</x:v>
      </x:c>
      <x:c r="B5" s="13" t="str">
        <x:v>Current USD/km</x:v>
      </x:c>
      <x:c r="C5" s="13" t="str">
        <x:v>Multiplier</x:v>
      </x:c>
      <x:c r="D5" s="13" t="str">
        <x:v>Proposed USD/km</x:v>
      </x:c>
      <x:c r="E5" s="13" t="str">
        <x:v>Change USD/km</x:v>
      </x:c>
      <x:c r="F5" s="13" t="str">
        <x:v>Basis</x:v>
      </x:c>
      <x:c r="G5" s="3"/>
      <x:c r="H5" s="3"/>
    </x:row>
    <x:row r="6" ht="58" customHeight="1">
      <x:c r="A6" s="21" t="str">
        <x:v>Dimensioned narrow-box supplied structural components, excluding conventional rail and new walkway brackets</x:v>
      </x:c>
      <x:c r="B6" s="30" t="n">
        <x:f>Inputs!$C$44-Inputs!$C$42</x:f>
        <x:v>3594160</x:v>
      </x:c>
      <x:c r="C6" s="36" t="n">
        <x:f>Inputs!$F$67</x:f>
        <x:v>0.6664728337080152</x:v>
      </x:c>
      <x:c r="D6" s="31" t="n">
        <x:f>B6*C6</x:f>
        <x:v>2395410</x:v>
      </x:c>
      <x:c r="E6" s="31" t="n">
        <x:f>D6-B6</x:f>
        <x:v>-1198750</x:v>
      </x:c>
      <x:c r="F6" s="21" t="str">
        <x:v>Scenario multiplier</x:v>
      </x:c>
      <x:c r="G6" s="3"/>
      <x:c r="H6" s="3"/>
    </x:row>
    <x:row r="7" ht="58" customHeight="1">
      <x:c r="A7" s="21" t="str">
        <x:v>Conventional steel rail and fastening supplier allowance; provisional allocation, not a separately quoted repo price</x:v>
      </x:c>
      <x:c r="B7" s="30" t="n">
        <x:f>Inputs!$C$42</x:f>
        <x:v>500000</x:v>
      </x:c>
      <x:c r="C7" s="37"/>
      <x:c r="D7" s="32" t="n">
        <x:v>0</x:v>
      </x:c>
      <x:c r="E7" s="31" t="n">
        <x:f>D7-B7</x:f>
        <x:v>-500000</x:v>
      </x:c>
      <x:c r="F7" s="21" t="str">
        <x:v>Deleted supply scope</x:v>
      </x:c>
      <x:c r="G7" s="3"/>
      <x:c r="H7" s="3"/>
    </x:row>
    <x:row r="8" ht="58" customHeight="1">
      <x:c r="A8" s="21" t="str">
        <x:v>New passive ferromagnetic functional rail, fabricated profiles/laminations and mounting/adjustment hardware; supply only, installation and QA below</x:v>
      </x:c>
      <x:c r="B8" s="32" t="n">
        <x:v>0</x:v>
      </x:c>
      <x:c r="C8" s="37"/>
      <x:c r="D8" s="30" t="n">
        <x:f>Inputs!$F$68</x:f>
        <x:v>1200000</x:v>
      </x:c>
      <x:c r="E8" s="31" t="n">
        <x:f>D8-B8</x:f>
        <x:v>1200000</x:v>
      </x:c>
      <x:c r="F8" s="21" t="str">
        <x:v>Unquoted supply budget</x:v>
      </x:c>
      <x:c r="G8" s="3"/>
      <x:c r="H8" s="3"/>
    </x:row>
    <x:row r="9" ht="58" customHeight="1">
      <x:c r="A9" s="21" t="str">
        <x:v>Additional long cantilever walkway brackets for narrow guidebeams;800/km at$200/$400/$750 supply each</x:v>
      </x:c>
      <x:c r="B9" s="30" t="n">
        <x:f>Inputs!$C$45</x:f>
        <x:v>0</x:v>
      </x:c>
      <x:c r="C9" s="37"/>
      <x:c r="D9" s="30" t="n">
        <x:f>Inputs!$F$69</x:f>
        <x:v>320000</x:v>
      </x:c>
      <x:c r="E9" s="31" t="n">
        <x:f>D9-B9</x:f>
        <x:v>320000</x:v>
      </x:c>
      <x:c r="F9" s="21" t="str">
        <x:v>800 long brackets/km</x:v>
      </x:c>
      <x:c r="G9" s="3"/>
      <x:c r="H9" s="3"/>
    </x:row>
    <x:row r="10" ht="58" customHeight="1">
      <x:c r="A10" s="21" t="str">
        <x:v>Erection equipment and normal guideway lifts</x:v>
      </x:c>
      <x:c r="B10" s="30" t="n">
        <x:f>Inputs!$C$46</x:f>
        <x:v>779840</x:v>
      </x:c>
      <x:c r="C10" s="36" t="n">
        <x:f>Inputs!$F$70</x:f>
        <x:v>0.7</x:v>
      </x:c>
      <x:c r="D10" s="31" t="n">
        <x:f>B10*C10</x:f>
        <x:v>545888</x:v>
      </x:c>
      <x:c r="E10" s="31" t="n">
        <x:f>D10-B10</x:f>
        <x:v>-233952</x:v>
      </x:c>
      <x:c r="F10" s="21" t="str">
        <x:v>Scenario multiplier</x:v>
      </x:c>
      <x:c r="G10" s="3"/>
      <x:c r="H10" s="3"/>
    </x:row>
    <x:row r="11" ht="58" customHeight="1">
      <x:c r="A11" s="21" t="str">
        <x:v>Transport</x:v>
      </x:c>
      <x:c r="B11" s="30" t="n">
        <x:f>Inputs!$C$47</x:f>
        <x:v>584880</x:v>
      </x:c>
      <x:c r="C11" s="36" t="n">
        <x:f>Inputs!$F$71</x:f>
        <x:v>0.65</x:v>
      </x:c>
      <x:c r="D11" s="31" t="n">
        <x:f>B11*C11</x:f>
        <x:v>380172</x:v>
      </x:c>
      <x:c r="E11" s="31" t="n">
        <x:f>D11-B11</x:f>
        <x:v>-204708</x:v>
      </x:c>
      <x:c r="F11" s="21" t="str">
        <x:v>Scenario multiplier</x:v>
      </x:c>
      <x:c r="G11" s="3"/>
      <x:c r="H11" s="3"/>
    </x:row>
    <x:row r="12" ht="58" customHeight="1">
      <x:c r="A12" s="21" t="str">
        <x:v>Temporary works</x:v>
      </x:c>
      <x:c r="B12" s="30" t="n">
        <x:f>Inputs!$C$48</x:f>
        <x:v>487400</x:v>
      </x:c>
      <x:c r="C12" s="36" t="n">
        <x:f>Inputs!$F$72</x:f>
        <x:v>0.8</x:v>
      </x:c>
      <x:c r="D12" s="31" t="n">
        <x:f>B12*C12</x:f>
        <x:v>389920</x:v>
      </x:c>
      <x:c r="E12" s="31" t="n">
        <x:f>D12-B12</x:f>
        <x:v>-97480</x:v>
      </x:c>
      <x:c r="F12" s="21" t="str">
        <x:v>Scenario multiplier</x:v>
      </x:c>
      <x:c r="G12" s="3"/>
      <x:c r="H12" s="3"/>
    </x:row>
    <x:row r="13" ht="58" customHeight="1">
      <x:c r="A13" s="21" t="str">
        <x:v>Installation labour and supervision, including passive rail installation</x:v>
      </x:c>
      <x:c r="B13" s="30" t="n">
        <x:f>Inputs!$C$49</x:f>
        <x:v>1169760</x:v>
      </x:c>
      <x:c r="C13" s="36" t="n">
        <x:f>Inputs!$F$73</x:f>
        <x:v>0.7</x:v>
      </x:c>
      <x:c r="D13" s="31" t="n">
        <x:f>B13*C13</x:f>
        <x:v>818832</x:v>
      </x:c>
      <x:c r="E13" s="31" t="n">
        <x:f>D13-B13</x:f>
        <x:v>-350928</x:v>
      </x:c>
      <x:c r="F13" s="21" t="str">
        <x:v>Scenario multiplier</x:v>
      </x:c>
      <x:c r="G13" s="3"/>
      <x:c r="H13" s="3"/>
    </x:row>
    <x:row r="14" ht="58" customHeight="1">
      <x:c r="A14" s="21" t="str">
        <x:v>Night shift allowance</x:v>
      </x:c>
      <x:c r="B14" s="30" t="n">
        <x:f>Inputs!$C$50</x:f>
        <x:v>194960</x:v>
      </x:c>
      <x:c r="C14" s="36" t="n">
        <x:f>Inputs!$F$74</x:f>
        <x:v>0.75</x:v>
      </x:c>
      <x:c r="D14" s="31" t="n">
        <x:f>B14*C14</x:f>
        <x:v>146220</x:v>
      </x:c>
      <x:c r="E14" s="31" t="n">
        <x:f>D14-B14</x:f>
        <x:v>-48740</x:v>
      </x:c>
      <x:c r="F14" s="21" t="str">
        <x:v>Scenario multiplier</x:v>
      </x:c>
      <x:c r="G14" s="3"/>
      <x:c r="H14" s="3"/>
    </x:row>
    <x:row r="15" ht="58" customHeight="1">
      <x:c r="A15" s="21" t="str">
        <x:v>Testing, inspection and magnetic rail metrology/alignment</x:v>
      </x:c>
      <x:c r="B15" s="30" t="n">
        <x:f>Inputs!$C$51</x:f>
        <x:v>292440</x:v>
      </x:c>
      <x:c r="C15" s="36" t="n">
        <x:f>Inputs!$F$75</x:f>
        <x:v>1.15</x:v>
      </x:c>
      <x:c r="D15" s="31" t="n">
        <x:f>B15*C15</x:f>
        <x:v>336306</x:v>
      </x:c>
      <x:c r="E15" s="31" t="n">
        <x:f>D15-B15</x:f>
        <x:v>43866</x:v>
      </x:c>
      <x:c r="F15" s="21" t="str">
        <x:v>Scenario multiplier</x:v>
      </x:c>
      <x:c r="G15" s="3"/>
      <x:c r="H15" s="3"/>
    </x:row>
    <x:row r="16" ht="58" customHeight="1">
      <x:c r="A16" s="21" t="str">
        <x:v>Maintenance equipment relocations; excludes utility relocation</x:v>
      </x:c>
      <x:c r="B16" s="30" t="n">
        <x:f>Inputs!$C$52</x:f>
        <x:v>292440</x:v>
      </x:c>
      <x:c r="C16" s="36" t="n">
        <x:f>Inputs!$F$76</x:f>
        <x:v>1</x:v>
      </x:c>
      <x:c r="D16" s="31" t="n">
        <x:f>B16*C16</x:f>
        <x:v>292440</x:v>
      </x:c>
      <x:c r="E16" s="31" t="n">
        <x:f>D16-B16</x:f>
        <x:v>0</x:v>
      </x:c>
      <x:c r="F16" s="21" t="str">
        <x:v>Scenario multiplier</x:v>
      </x:c>
      <x:c r="G16" s="3"/>
      <x:c r="H16" s="3"/>
    </x:row>
    <x:row r="17" ht="58" customHeight="1">
      <x:c r="A17" s="21" t="str">
        <x:v>Traffic management</x:v>
      </x:c>
      <x:c r="B17" s="30" t="n">
        <x:f>Inputs!$C$53</x:f>
        <x:v>389920</x:v>
      </x:c>
      <x:c r="C17" s="36" t="n">
        <x:f>Inputs!$F$77</x:f>
        <x:v>0.9</x:v>
      </x:c>
      <x:c r="D17" s="31" t="n">
        <x:f>B17*C17</x:f>
        <x:v>350928</x:v>
      </x:c>
      <x:c r="E17" s="31" t="n">
        <x:f>D17-B17</x:f>
        <x:v>-38992</x:v>
      </x:c>
      <x:c r="F17" s="21" t="str">
        <x:v>Scenario multiplier</x:v>
      </x:c>
      <x:c r="G17" s="3"/>
      <x:c r="H17" s="3"/>
    </x:row>
    <x:row r="18" ht="58" customHeight="1">
      <x:c r="A18" s="21" t="str">
        <x:v>Supports and foundations; reduced only after structural/geotechnical release</x:v>
      </x:c>
      <x:c r="B18" s="30" t="n">
        <x:f>Inputs!$C$54</x:f>
        <x:v>1462200</x:v>
      </x:c>
      <x:c r="C18" s="36" t="n">
        <x:f>Inputs!$F$78</x:f>
        <x:v>0.8</x:v>
      </x:c>
      <x:c r="D18" s="31" t="n">
        <x:f>B18*C18</x:f>
        <x:v>1169760</x:v>
      </x:c>
      <x:c r="E18" s="31" t="n">
        <x:f>D18-B18</x:f>
        <x:v>-292440</x:v>
      </x:c>
      <x:c r="F18" s="21" t="str">
        <x:v>Scenario multiplier</x:v>
      </x:c>
      <x:c r="G18" s="3"/>
      <x:c r="H18" s="3"/>
    </x:row>
    <x:row r="19" ht="22" customHeight="1">
      <x:c r="A19" s="28" t="str">
        <x:v>TOTAL ELEVATED GUIDEWAY</x:v>
      </x:c>
      <x:c r="B19" s="33" t="n">
        <x:f>SUM(B6:B18)</x:f>
        <x:v>9748000</x:v>
      </x:c>
      <x:c r="C19" s="28"/>
      <x:c r="D19" s="33" t="n">
        <x:f>SUM(D6:D18)</x:f>
        <x:v>8345876</x:v>
      </x:c>
      <x:c r="E19" s="33" t="n">
        <x:f>D19-B19</x:f>
        <x:v>-1402124</x:v>
      </x:c>
      <x:c r="F19" s="28"/>
      <x:c r="G19" s="3"/>
      <x:c r="H19" s="3"/>
    </x:row>
    <x:row r="20" ht="22" customHeight="1">
      <x:c r="A20" s="3"/>
      <x:c r="B20" s="32"/>
      <x:c r="C20" s="3"/>
      <x:c r="D20" s="32"/>
      <x:c r="E20" s="32"/>
      <x:c r="F20" s="3"/>
      <x:c r="G20" s="3"/>
      <x:c r="H20" s="3"/>
    </x:row>
    <x:row r="21" ht="22" customHeight="1">
      <x:c r="A21" s="3" t="str">
        <x:v>Reconciliation to current published rate</x:v>
      </x:c>
      <x:c r="B21" s="30" t="n">
        <x:f>B19-Inputs!$C$41</x:f>
        <x:v>0</x:v>
      </x:c>
      <x:c r="C21" s="3"/>
      <x:c r="D21" s="32"/>
      <x:c r="E21" s="32"/>
      <x:c r="F21" s="3"/>
      <x:c r="G21" s="3"/>
      <x:c r="H21" s="3"/>
    </x:row>
    <x:row r="22" ht="22" customHeight="1">
      <x:c r="A22" s="3" t="str">
        <x:v>Passive rail supply per one-way beam-m</x:v>
      </x:c>
      <x:c r="B22" s="32"/>
      <x:c r="C22" s="3"/>
      <x:c r="D22" s="30" t="n">
        <x:f>Inputs!$F$68/Inputs!$C$43</x:f>
        <x:v>600</x:v>
      </x:c>
      <x:c r="E22" s="32"/>
      <x:c r="F22" s="3"/>
      <x:c r="G22" s="3"/>
      <x:c r="H22" s="3"/>
    </x:row>
    <x:row r="23" ht="22" customHeight="1">
      <x:c r="A23" s="3" t="str">
        <x:v>Extra $100 per beam-m adds to route-km</x:v>
      </x:c>
      <x:c r="B23" s="32"/>
      <x:c r="C23" s="3"/>
      <x:c r="D23" s="30" t="n">
        <x:f>100*Inputs!$C$43</x:f>
        <x:v>200000</x:v>
      </x:c>
      <x:c r="E23" s="32"/>
      <x:c r="F23" s="3"/>
      <x:c r="G23" s="3"/>
      <x:c r="H23" s="3"/>
    </x:row>
    <x:row r="24" ht="22" customHeight="1">
      <x:c r="A24" s="3" t="str">
        <x:v>Civil cost change</x:v>
      </x:c>
      <x:c r="B24" s="3"/>
      <x:c r="C24" s="3"/>
      <x:c r="D24" s="20" t="n">
        <x:f>D19/B19-1</x:f>
        <x:v>-0.14383709478867457</x:v>
      </x:c>
      <x:c r="E24" s="3"/>
      <x:c r="F24" s="3"/>
      <x:c r="G24" s="3"/>
      <x:c r="H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</x:row>
    <x:row r="26" ht="22" customHeight="1">
      <x:c r="A26" s="21" t="str">
        <x:v>Unverified screening allocation. Rail kg/m, section, laminations and tolerances are TBD. Structural and foundation savings require design release. The model does not apply elevated percentages to at-grade lines, bridges or stations. No separate catenary credit is taken.</x:v>
      </x:c>
      <x:c r="B26" s="21"/>
      <x:c r="C26" s="21"/>
      <x:c r="D26" s="21"/>
      <x:c r="E26" s="21"/>
      <x:c r="F26" s="21"/>
      <x:c r="G26" s="3"/>
      <x:c r="H26" s="3"/>
    </x:row>
    <x:row r="27" ht="22" customHeight="1">
      <x:c r="A27" s="21"/>
      <x:c r="B27" s="21"/>
      <x:c r="C27" s="21"/>
      <x:c r="D27" s="21"/>
      <x:c r="E27" s="21"/>
      <x:c r="F27" s="21"/>
      <x:c r="G27" s="3"/>
      <x:c r="H27" s="3"/>
    </x:row>
    <x:row r="28" ht="22" customHeight="1">
      <x:c r="A28" s="21"/>
      <x:c r="B28" s="21"/>
      <x:c r="C28" s="21"/>
      <x:c r="D28" s="21"/>
      <x:c r="E28" s="21"/>
      <x:c r="F28" s="21"/>
      <x:c r="G28" s="3"/>
      <x:c r="H28" s="3"/>
    </x:row>
    <x:row r="29" ht="22" customHeight="1">
      <x:c r="A29" s="21"/>
      <x:c r="B29" s="21"/>
      <x:c r="C29" s="21"/>
      <x:c r="D29" s="21"/>
      <x:c r="E29" s="21"/>
      <x:c r="F29" s="21"/>
      <x:c r="G29" s="3"/>
      <x:c r="H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</x:row>
  </x:sheetData>
  <x:mergeCells>
    <x:mergeCell ref="A1:F1"/>
    <x:mergeCell ref="A2:F2"/>
    <x:mergeCell ref="A26:F29"/>
  </x:mergeCells>
  <x:pageMargins left="0.7" right="0.7" top="0.75" bottom="0.75" header="0.3" footer="0.3"/>
  <x:legacyDrawing xmlns:r="http://schemas.openxmlformats.org/officeDocument/2006/relationships" r:id="Ra42116b4f190463e"/>
</x:worksheet>
</file>

<file path=xl/worksheets/sheet4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98" hidden="0" customWidth="1"/>
  </x:cols>
  <x:sheetData>
    <x:row r="1" ht="31" customHeight="1">
      <x:c r="A1" s="5" t="str">
        <x:v>Assumptions and scenario selection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Edit blue inputs. One scenario selector drives every calculation. New rates are unquoted planning allowances.</x:v>
      </x:c>
      <x:c r="B2" s="6"/>
      <x:c r="C2" s="6"/>
      <x:c r="D2" s="6"/>
      <x:c r="E2" s="6"/>
      <x:c r="F2" s="6"/>
      <x:c r="G2" s="3"/>
      <x:c r="H2" s="3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3" t="str">
        <x:v>Cost scenario (1 low / 2 base / 3 high)</x:v>
      </x:c>
      <x:c r="B4" s="8" t="n">
        <x:v>2</x:v>
      </x:c>
      <x:c r="C4" s="3"/>
      <x:c r="D4" s="9" t="str">
        <x:f>IF(B4=1,"Low",IF(B4=2,"Base","High"))</x:f>
        <x:v>Base</x:v>
      </x:c>
      <x:c r="E4" s="3"/>
      <x:c r="F4" s="3"/>
      <x:c r="G4" s="3"/>
      <x:c r="H4" s="3"/>
    </x:row>
    <x:row r="5" ht="22" customHeight="1">
      <x:c r="A5" s="3" t="str">
        <x:v>Ferrite mass per car (kg)</x:v>
      </x:c>
      <x:c r="B5" s="8" t="n">
        <x:v>3000</x:v>
      </x:c>
      <x:c r="C5" s="3"/>
      <x:c r="D5" s="3" t="str">
        <x:v>Base specification: 3,000 kg/car</x:v>
      </x:c>
      <x:c r="E5" s="3"/>
      <x:c r="F5" s="3"/>
      <x:c r="G5" s="3"/>
      <x:c r="H5" s="3"/>
    </x:row>
    <x:row r="6" ht="22" customHeight="1">
      <x:c r="A6" s="3" t="str">
        <x:v>Battery gross capacity per car (kWh)</x:v>
      </x:c>
      <x:c r="B6" s="8" t="n">
        <x:v>225</x:v>
      </x:c>
      <x:c r="C6" s="3"/>
      <x:c r="D6" s="3" t="str">
        <x:v>225 kWh matched; 150 kWh sensitivity</x:v>
      </x:c>
      <x:c r="E6" s="3"/>
      <x:c r="F6" s="3"/>
      <x:c r="G6" s="3"/>
      <x:c r="H6" s="3"/>
    </x:row>
    <x:row r="7" ht="22" customHeight="1">
      <x:c r="A7" s="3" t="str">
        <x:v>Example elevated route length (km)</x:v>
      </x:c>
      <x:c r="B7" s="8" t="n">
        <x:v>100</x:v>
      </x:c>
      <x:c r="C7" s="3"/>
      <x:c r="D7" s="3"/>
      <x:c r="E7" s="3"/>
      <x:c r="F7" s="3"/>
      <x:c r="G7" s="3"/>
      <x:c r="H7" s="3"/>
    </x:row>
    <x:row r="8" ht="22" customHeight="1">
      <x:c r="A8" s="3" t="str">
        <x:v>Example three-car fleet (sets)</x:v>
      </x:c>
      <x:c r="B8" s="8" t="n">
        <x:v>100</x:v>
      </x:c>
      <x:c r="C8" s="3"/>
      <x:c r="D8" s="3"/>
      <x:c r="E8" s="3"/>
      <x:c r="F8" s="3"/>
      <x:c r="G8" s="3"/>
      <x:c r="H8" s="3"/>
    </x:row>
    <x:row r="9" ht="22" customHeight="1">
      <x:c r="A9" s="3" t="str">
        <x:v>Real discount rate for optional O&amp;M screen</x:v>
      </x:c>
      <x:c r="B9" s="10" t="n">
        <x:v>0.05</x:v>
      </x:c>
      <x:c r="C9" s="3"/>
      <x:c r="D9" s="3"/>
      <x:c r="E9" s="3"/>
      <x:c r="F9" s="3"/>
      <x:c r="G9" s="3"/>
      <x:c r="H9" s="3"/>
    </x:row>
    <x:row r="10" ht="22" customHeight="1">
      <x:c r="A10" s="3" t="str">
        <x:v>O&amp;M screen period (years)</x:v>
      </x:c>
      <x:c r="B10" s="8" t="n">
        <x:v>30</x:v>
      </x:c>
      <x:c r="C10" s="3"/>
      <x:c r="D10" s="3"/>
      <x:c r="E10" s="3"/>
      <x:c r="F10" s="3"/>
      <x:c r="G10" s="3"/>
      <x:c r="H10" s="3"/>
    </x:row>
    <x:row r="11" ht="22" customHeight="1">
      <x:c r="A11" s="3"/>
      <x:c r="B11" s="3"/>
      <x:c r="C11" s="3"/>
      <x:c r="D11" s="3"/>
      <x:c r="E11" s="3"/>
      <x:c r="F11" s="3"/>
      <x:c r="G11" s="3"/>
      <x:c r="H11" s="3"/>
    </x:row>
    <x:row r="12" ht="22" customHeight="1">
      <x:c r="A12" s="3" t="str">
        <x:v>Blue = input; green = linked formula; black = local formula. These are cost scenarios, not confidence bounds.</x:v>
      </x:c>
      <x:c r="B12" s="3"/>
      <x:c r="C12" s="3"/>
      <x:c r="D12" s="3"/>
      <x:c r="E12" s="3"/>
      <x:c r="F12" s="3"/>
      <x:c r="G12" s="3"/>
      <x:c r="H12" s="3"/>
    </x:row>
    <x:row r="13" ht="22" customHeight="1">
      <x:c r="A13" s="3"/>
      <x:c r="B13" s="3"/>
      <x:c r="C13" s="3"/>
      <x:c r="D13" s="3"/>
      <x:c r="E13" s="3"/>
      <x:c r="F13" s="3"/>
      <x:c r="G13" s="3"/>
      <x:c r="H13" s="3"/>
    </x:row>
    <x:row r="14" ht="25" customHeight="1">
      <x:c r="A14" s="13" t="str">
        <x:v>FIXED COMPARISON INPUTS</x:v>
      </x:c>
      <x:c r="B14" s="13"/>
      <x:c r="C14" s="13"/>
      <x:c r="D14" s="13"/>
      <x:c r="E14" s="13"/>
      <x:c r="F14" s="13"/>
      <x:c r="G14" s="3"/>
      <x:c r="H14" s="3"/>
    </x:row>
    <x:row r="15" ht="25" customHeight="1">
      <x:c r="A15" s="13" t="str">
        <x:v>Input</x:v>
      </x:c>
      <x:c r="B15" s="13" t="str">
        <x:v>Unit</x:v>
      </x:c>
      <x:c r="C15" s="13" t="str">
        <x:v>Value</x:v>
      </x:c>
      <x:c r="D15" s="13" t="str">
        <x:v>Evidence basis</x:v>
      </x:c>
      <x:c r="E15" s="13"/>
      <x:c r="F15" s="13"/>
      <x:c r="G15" s="3"/>
      <x:c r="H15" s="3"/>
    </x:row>
    <x:row r="16" ht="36" customHeight="1">
      <x:c r="A16" s="21" t="str">
        <x:v>Cars per matched train</x:v>
      </x:c>
      <x:c r="B16" s="3" t="str">
        <x:v>cars</x:v>
      </x:c>
      <x:c r="C16" s="14" t="n">
        <x:v>3</x:v>
      </x:c>
      <x:c r="D16" s="21" t="str">
        <x:v>Current LM3</x:v>
      </x:c>
      <x:c r="E16" s="21"/>
      <x:c r="F16" s="21"/>
      <x:c r="G16" s="3"/>
      <x:c r="H16" s="21" t="str">
        <x:v>https://github.com/modernecotech/OpenSourceRail/blob/50010ce56370cf6b22dc383c12eebbc224800007/lib/templates/rolling-stock.toml</x:v>
      </x:c>
    </x:row>
    <x:row r="17" ht="36" customHeight="1">
      <x:c r="A17" s="21" t="str">
        <x:v>Current direct materials / modules</x:v>
      </x:c>
      <x:c r="B17" s="3" t="str">
        <x:v>USD/train</x:v>
      </x:c>
      <x:c r="C17" s="14" t="n">
        <x:v>682431.18</x:v>
      </x:c>
      <x:c r="D17" s="21" t="str">
        <x:v>Promoted build estimate</x:v>
      </x:c>
      <x:c r="E17" s="21"/>
      <x:c r="F17" s="21"/>
      <x:c r="G17" s="3"/>
      <x:c r="H17" s="21" t="str">
        <x:v>https://github.com/modernecotech/OpenSourceRail/blob/50010ce56370cf6b22dc383c12eebbc224800007/design/component-catalogue/catalog/buildable-trainset/trainset-build-cost.json</x:v>
      </x:c>
    </x:row>
    <x:row r="18" ht="36" customHeight="1">
      <x:c r="A18" s="21" t="str">
        <x:v>Current integration labour</x:v>
      </x:c>
      <x:c r="B18" s="3" t="str">
        <x:v>hours/train</x:v>
      </x:c>
      <x:c r="C18" s="14" t="n">
        <x:v>5524</x:v>
      </x:c>
      <x:c r="D18" s="21" t="str">
        <x:v>Promoted build estimate</x:v>
      </x:c>
      <x:c r="E18" s="21"/>
      <x:c r="F18" s="21"/>
      <x:c r="G18" s="3"/>
      <x:c r="H18" s="21" t="str">
        <x:v>https://github.com/modernecotech/OpenSourceRail/blob/50010ce56370cf6b22dc383c12eebbc224800007/design/component-catalogue/catalog/buildable-trainset/trainset-build-cost.json</x:v>
      </x:c>
    </x:row>
    <x:row r="19" ht="36" customHeight="1">
      <x:c r="A19" s="21" t="str">
        <x:v>Final integration labour rate</x:v>
      </x:c>
      <x:c r="B19" s="3" t="str">
        <x:v>USD/hour</x:v>
      </x:c>
      <x:c r="C19" s="14" t="n">
        <x:v>10</x:v>
      </x:c>
      <x:c r="D19" s="21" t="str">
        <x:v>Retained local-owner assumption</x:v>
      </x:c>
      <x:c r="E19" s="21"/>
      <x:c r="F19" s="21"/>
      <x:c r="G19" s="3"/>
      <x:c r="H19" s="21" t="str">
        <x:v>https://github.com/modernecotech/OpenSourceRail/blob/50010ce56370cf6b22dc383c12eebbc224800007/design/component-catalogue/catalog/buildable-trainset/trainset-build-cost.json</x:v>
      </x:c>
    </x:row>
    <x:row r="20" ht="36" customHeight="1">
      <x:c r="A20" s="21" t="str">
        <x:v>Unexpected-cost premium</x:v>
      </x:c>
      <x:c r="B20" s="3" t="str">
        <x:v>fraction</x:v>
      </x:c>
      <x:c r="C20" s="15" t="n">
        <x:v>0.2</x:v>
      </x:c>
      <x:c r="D20" s="21" t="str">
        <x:v>Retained for both vehicle alternatives</x:v>
      </x:c>
      <x:c r="E20" s="21"/>
      <x:c r="F20" s="21"/>
      <x:c r="G20" s="3"/>
      <x:c r="H20" s="21" t="str">
        <x:v>https://github.com/modernecotech/OpenSourceRail/blob/50010ce56370cf6b22dc383c12eebbc224800007/design/component-catalogue/catalog/buildable-trainset/trainset-build-cost.json</x:v>
      </x:c>
    </x:row>
    <x:row r="21" ht="36" customHeight="1">
      <x:c r="A21" s="21" t="str">
        <x:v>Current train tare target</x:v>
      </x:c>
      <x:c r="B21" s="3" t="str">
        <x:v>kg/train</x:v>
      </x:c>
      <x:c r="C21" s="14" t="n">
        <x:v>78750</x:v>
      </x:c>
      <x:c r="D21" s="21" t="str">
        <x:v>Modeled subtotal plus reserve</x:v>
      </x:c>
      <x:c r="E21" s="21"/>
      <x:c r="F21" s="21"/>
      <x:c r="G21" s="3"/>
      <x:c r="H21" s="21" t="str">
        <x:v>https://github.com/modernecotech/OpenSourceRail/blob/50010ce56370cf6b22dc383c12eebbc224800007/docs/rolling-stock/light-metro-3car/README.md</x:v>
      </x:c>
    </x:row>
    <x:row r="22" ht="36" customHeight="1">
      <x:c r="A22" s="21" t="str">
        <x:v>AW2 passengers per car</x:v>
      </x:c>
      <x:c r="B22" s="3" t="str">
        <x:v>persons/car</x:v>
      </x:c>
      <x:c r="C22" s="14" t="n">
        <x:v>120</x:v>
      </x:c>
      <x:c r="D22" s="21" t="str">
        <x:v>Current capacity preserved</x:v>
      </x:c>
      <x:c r="E22" s="21"/>
      <x:c r="F22" s="21"/>
      <x:c r="G22" s="3"/>
      <x:c r="H22" s="21" t="str">
        <x:v>https://github.com/modernecotech/OpenSourceRail/blob/50010ce56370cf6b22dc383c12eebbc224800007/lib/templates/rolling-stock.toml</x:v>
      </x:c>
    </x:row>
    <x:row r="23" ht="36" customHeight="1">
      <x:c r="A23" s="21" t="str">
        <x:v>AW3 passengers per car</x:v>
      </x:c>
      <x:c r="B23" s="3" t="str">
        <x:v>persons/car</x:v>
      </x:c>
      <x:c r="C23" s="14" t="n">
        <x:v>160</x:v>
      </x:c>
      <x:c r="D23" s="21" t="str">
        <x:v>Current capacity preserved</x:v>
      </x:c>
      <x:c r="E23" s="21"/>
      <x:c r="F23" s="21"/>
      <x:c r="G23" s="3"/>
      <x:c r="H23" s="21" t="str">
        <x:v>https://github.com/modernecotech/OpenSourceRail/blob/50010ce56370cf6b22dc383c12eebbc224800007/lib/templates/rolling-stock.toml</x:v>
      </x:c>
    </x:row>
    <x:row r="24" ht="36" customHeight="1">
      <x:c r="A24" s="21" t="str">
        <x:v>Initial passenger loading</x:v>
      </x:c>
      <x:c r="B24" s="3" t="str">
        <x:v>kg/person</x:v>
      </x:c>
      <x:c r="C24" s="14" t="n">
        <x:v>75</x:v>
      </x:c>
      <x:c r="D24" s="21" t="str">
        <x:v>Study load assumption; operator requirements to resolve</x:v>
      </x:c>
      <x:c r="E24" s="21"/>
      <x:c r="F24" s="21"/>
      <x:c r="G24" s="3"/>
      <x:c r="H24" s="21" t="str">
        <x:v>Engineering/user assumption in rework specification</x:v>
      </x:c>
    </x:row>
    <x:row r="25" ht="36" customHeight="1">
      <x:c r="A25" s="21" t="str">
        <x:v>Raw ferrite price</x:v>
      </x:c>
      <x:c r="B25" s="3" t="str">
        <x:v>USD/kg</x:v>
      </x:c>
      <x:c r="C25" s="14" t="n">
        <x:v>2.3333333333333335</x:v>
      </x:c>
      <x:c r="D25" s="21" t="str">
        <x:v>User assumption: $7,000 per 3 tonnes; raw blocks only</x:v>
      </x:c>
      <x:c r="E25" s="21"/>
      <x:c r="F25" s="21"/>
      <x:c r="G25" s="3"/>
      <x:c r="H25" s="21" t="str">
        <x:v>Engineering/user assumption in rework specification</x:v>
      </x:c>
    </x:row>
    <x:row r="26" ht="36" customHeight="1">
      <x:c r="A26" s="21" t="str">
        <x:v>Current gross battery per train</x:v>
      </x:c>
      <x:c r="B26" s="3" t="str">
        <x:v>kWh/train</x:v>
      </x:c>
      <x:c r="C26" s="14" t="n">
        <x:v>675</x:v>
      </x:c>
      <x:c r="D26" s="21" t="str">
        <x:v>Current LM3</x:v>
      </x:c>
      <x:c r="E26" s="21"/>
      <x:c r="F26" s="21"/>
      <x:c r="G26" s="3"/>
      <x:c r="H26" s="21" t="str">
        <x:v>https://github.com/modernecotech/OpenSourceRail/blob/50010ce56370cf6b22dc383c12eebbc224800007/lib/templates/rolling-stock.toml</x:v>
      </x:c>
    </x:row>
    <x:row r="27" ht="36" customHeight="1">
      <x:c r="A27" s="21" t="str">
        <x:v>Current battery-pack supplier cost</x:v>
      </x:c>
      <x:c r="B27" s="3" t="str">
        <x:v>USD/train</x:v>
      </x:c>
      <x:c r="C27" s="14" t="n">
        <x:v>75000</x:v>
      </x:c>
      <x:c r="D27" s="21" t="str">
        <x:v>T5 anchor; battery auxiliaries separate</x:v>
      </x:c>
      <x:c r="E27" s="21"/>
      <x:c r="F27" s="21"/>
      <x:c r="G27" s="3"/>
      <x:c r="H27" s="21" t="str">
        <x:v>https://github.com/modernecotech/OpenSourceRail/blob/50010ce56370cf6b22dc383c12eebbc224800007/docs/rolling-stock/light-metro-3car/bom-skeleton.md</x:v>
      </x:c>
    </x:row>
    <x:row r="28" ht="36" customHeight="1">
      <x:c r="A28" s="21" t="str">
        <x:v>Installed battery specific energy</x:v>
      </x:c>
      <x:c r="B28" s="3" t="str">
        <x:v>Wh/kg</x:v>
      </x:c>
      <x:c r="C28" s="14" t="n">
        <x:v>100</x:v>
      </x:c>
      <x:c r="D28" s="21" t="str">
        <x:v>Engineering assumption; pack mass not measured</x:v>
      </x:c>
      <x:c r="E28" s="21"/>
      <x:c r="F28" s="21"/>
      <x:c r="G28" s="3"/>
      <x:c r="H28" s="21" t="str">
        <x:v>Engineering/user assumption in rework specification</x:v>
      </x:c>
    </x:row>
    <x:row r="29" ht="36" customHeight="1">
      <x:c r="A29" s="21" t="str">
        <x:v>M3-150 tare allocation incl. reserve</x:v>
      </x:c>
      <x:c r="B29" s="3" t="str">
        <x:v>kg/car</x:v>
      </x:c>
      <x:c r="C29" s="14" t="n">
        <x:v>18000</x:v>
      </x:c>
      <x:c r="D29" s="21" t="str">
        <x:v>18 t target with 3 t ferrite and 150 kWh</x:v>
      </x:c>
      <x:c r="E29" s="21"/>
      <x:c r="F29" s="21"/>
      <x:c r="G29" s="3"/>
      <x:c r="H29" s="21" t="str">
        <x:v>Engineering/user assumption in rework specification</x:v>
      </x:c>
    </x:row>
    <x:row r="30" ht="36" customHeight="1">
      <x:c r="A30" s="21" t="str">
        <x:v>Ferrite included in lean tare</x:v>
      </x:c>
      <x:c r="B30" s="3" t="str">
        <x:v>kg/car</x:v>
      </x:c>
      <x:c r="C30" s="14" t="n">
        <x:v>3000</x:v>
      </x:c>
      <x:c r="D30" s="21" t="str">
        <x:v>Mass ledger base; no second counting</x:v>
      </x:c>
      <x:c r="E30" s="21"/>
      <x:c r="F30" s="21"/>
      <x:c r="G30" s="3"/>
      <x:c r="H30" s="21" t="str">
        <x:v>Engineering/user assumption in rework specification</x:v>
      </x:c>
    </x:row>
    <x:row r="31" ht="36" customHeight="1">
      <x:c r="A31" s="21" t="str">
        <x:v>Battery included in lean tare</x:v>
      </x:c>
      <x:c r="B31" s="3" t="str">
        <x:v>kWh/car</x:v>
      </x:c>
      <x:c r="C31" s="14" t="n">
        <x:v>150</x:v>
      </x:c>
      <x:c r="D31" s="21" t="str">
        <x:v>Mass ledger base</x:v>
      </x:c>
      <x:c r="E31" s="21"/>
      <x:c r="F31" s="21"/>
      <x:c r="G31" s="3"/>
      <x:c r="H31" s="21" t="str">
        <x:v>Engineering/user assumption in rework specification</x:v>
      </x:c>
    </x:row>
    <x:row r="32" ht="36" customHeight="1">
      <x:c r="A32" s="21" t="str">
        <x:v>Gravity for load screen</x:v>
      </x:c>
      <x:c r="B32" s="3" t="str">
        <x:v>m/s²</x:v>
      </x:c>
      <x:c r="C32" s="14" t="n">
        <x:v>9.81</x:v>
      </x:c>
      <x:c r="D32" s="21" t="str">
        <x:v>Calculation constant</x:v>
      </x:c>
      <x:c r="E32" s="21"/>
      <x:c r="F32" s="21"/>
      <x:c r="G32" s="3"/>
      <x:c r="H32" s="21" t="str">
        <x:v>Engineering/user assumption in rework specification</x:v>
      </x:c>
    </x:row>
    <x:row r="33" ht="36" customHeight="1">
      <x:c r="A33" s="21" t="str">
        <x:v>Operating SOC window</x:v>
      </x:c>
      <x:c r="B33" s="3" t="str">
        <x:v>fraction</x:v>
      </x:c>
      <x:c r="C33" s="15" t="n">
        <x:v>0.6</x:v>
      </x:c>
      <x:c r="D33" s="21" t="str">
        <x:v>20–80% SOC design assumption</x:v>
      </x:c>
      <x:c r="E33" s="21"/>
      <x:c r="F33" s="21"/>
      <x:c r="G33" s="3"/>
      <x:c r="H33" s="21" t="str">
        <x:v>Engineering/user assumption in rework specification</x:v>
      </x:c>
    </x:row>
    <x:row r="34" ht="36" customHeight="1">
      <x:c r="A34" s="21" t="str">
        <x:v>End-of-life battery capacity</x:v>
      </x:c>
      <x:c r="B34" s="3" t="str">
        <x:v>fraction</x:v>
      </x:c>
      <x:c r="C34" s="15" t="n">
        <x:v>0.8</x:v>
      </x:c>
      <x:c r="D34" s="21" t="str">
        <x:v>Design sensitivity, not cell supplier evidence</x:v>
      </x:c>
      <x:c r="E34" s="21"/>
      <x:c r="F34" s="21"/>
      <x:c r="G34" s="3"/>
      <x:c r="H34" s="21" t="str">
        <x:v>Engineering/user assumption in rework specification</x:v>
      </x:c>
    </x:row>
    <x:row r="35" ht="36" customHeight="1">
      <x:c r="A35" s="21" t="str">
        <x:v>Initial module count per car</x:v>
      </x:c>
      <x:c r="B35" s="3" t="str">
        <x:v>modules/car</x:v>
      </x:c>
      <x:c r="C35" s="14" t="n">
        <x:v>24</x:v>
      </x:c>
      <x:c r="D35" s="21" t="str">
        <x:v>Packaging seed, not released geometry</x:v>
      </x:c>
      <x:c r="E35" s="21"/>
      <x:c r="F35" s="21"/>
      <x:c r="G35" s="3"/>
      <x:c r="H35" s="21" t="str">
        <x:v>Engineering/user assumption in rework specification</x:v>
      </x:c>
    </x:row>
    <x:row r="36" ht="36" customHeight="1">
      <x:c r="A36" s="21" t="str">
        <x:v>Complete six-bogie group including frames, wheels, bearings, mechanical brakes and suspension</x:v>
      </x:c>
      <x:c r="B36" s="3" t="str">
        <x:v>USD/train</x:v>
      </x:c>
      <x:c r="C36" s="14" t="n">
        <x:v>125600</x:v>
      </x:c>
      <x:c r="D36" s="21" t="str">
        <x:v>Older BOM row G1_G21; promoted candidate uplift retained</x:v>
      </x:c>
      <x:c r="E36" s="21"/>
      <x:c r="F36" s="21"/>
      <x:c r="G36" s="3"/>
      <x:c r="H36" s="21" t="str">
        <x:v>https://github.com/modernecotech/OpenSourceRail/blob/50010ce56370cf6b22dc383c12eebbc224800007/docs/rolling-stock/light-metro-3car/bom-skeleton.md</x:v>
      </x:c>
    </x:row>
    <x:row r="37" ht="36" customHeight="1">
      <x:c r="A37" s="21" t="str">
        <x:v>Six rotary traction motors</x:v>
      </x:c>
      <x:c r="B37" s="3" t="str">
        <x:v>USD/train</x:v>
      </x:c>
      <x:c r="C37" s="14" t="n">
        <x:v>36000</x:v>
      </x:c>
      <x:c r="D37" s="21" t="str">
        <x:v>Older BOM row T1; promoted candidate uplift retained</x:v>
      </x:c>
      <x:c r="E37" s="21"/>
      <x:c r="F37" s="21"/>
      <x:c r="G37" s="3"/>
      <x:c r="H37" s="21" t="str">
        <x:v>https://github.com/modernecotech/OpenSourceRail/blob/50010ce56370cf6b22dc383c12eebbc224800007/docs/rolling-stock/light-metro-3car/bom-skeleton.md</x:v>
      </x:c>
    </x:row>
    <x:row r="38" ht="36" customHeight="1">
      <x:c r="A38" s="21" t="str">
        <x:v>Reduction gearboxes</x:v>
      </x:c>
      <x:c r="B38" s="3" t="str">
        <x:v>USD/train</x:v>
      </x:c>
      <x:c r="C38" s="14" t="n">
        <x:v>15000</x:v>
      </x:c>
      <x:c r="D38" s="21" t="str">
        <x:v>Older BOM row T2; promoted candidate uplift retained</x:v>
      </x:c>
      <x:c r="E38" s="21"/>
      <x:c r="F38" s="21"/>
      <x:c r="G38" s="3"/>
      <x:c r="H38" s="21" t="str">
        <x:v>https://github.com/modernecotech/OpenSourceRail/blob/50010ce56370cf6b22dc383c12eebbc224800007/docs/rolling-stock/light-metro-3car/bom-skeleton.md</x:v>
      </x:c>
    </x:row>
    <x:row r="39" ht="36" customHeight="1">
      <x:c r="A39" s="21" t="str">
        <x:v>Conventional motor controllers</x:v>
      </x:c>
      <x:c r="B39" s="3" t="str">
        <x:v>USD/train</x:v>
      </x:c>
      <x:c r="C39" s="14" t="n">
        <x:v>24000</x:v>
      </x:c>
      <x:c r="D39" s="21" t="str">
        <x:v>Older BOM row T3; promoted candidate uplift retained</x:v>
      </x:c>
      <x:c r="E39" s="21"/>
      <x:c r="F39" s="21"/>
      <x:c r="G39" s="3"/>
      <x:c r="H39" s="21" t="str">
        <x:v>https://github.com/modernecotech/OpenSourceRail/blob/50010ce56370cf6b22dc383c12eebbc224800007/docs/rolling-stock/light-metro-3car/bom-skeleton.md</x:v>
      </x:c>
    </x:row>
    <x:row r="40" ht="36" customHeight="1">
      <x:c r="A40" s="21" t="str">
        <x:v>Conventional traction cooling</x:v>
      </x:c>
      <x:c r="B40" s="3" t="str">
        <x:v>USD/train</x:v>
      </x:c>
      <x:c r="C40" s="14" t="n">
        <x:v>6000</x:v>
      </x:c>
      <x:c r="D40" s="21" t="str">
        <x:v>Older BOM row T4; promoted candidate uplift retained</x:v>
      </x:c>
      <x:c r="E40" s="21"/>
      <x:c r="F40" s="21"/>
      <x:c r="G40" s="3"/>
      <x:c r="H40" s="21" t="str">
        <x:v>https://github.com/modernecotech/OpenSourceRail/blob/50010ce56370cf6b22dc383c12eebbc224800007/docs/rolling-stock/light-metro-3car/bom-skeleton.md</x:v>
      </x:c>
    </x:row>
    <x:row r="41" ht="36" customHeight="1">
      <x:c r="A41" s="21" t="str">
        <x:v>Current elevated installed rate</x:v>
      </x:c>
      <x:c r="B41" s="3" t="str">
        <x:v>USD/dual-km</x:v>
      </x:c>
      <x:c r="C41" s="14" t="n">
        <x:v>9748000</x:v>
      </x:c>
      <x:c r="D41" s="21" t="str">
        <x:v>Current generated civil reference</x:v>
      </x:c>
      <x:c r="E41" s="21"/>
      <x:c r="F41" s="21"/>
      <x:c r="G41" s="3"/>
      <x:c r="H41" s="21" t="str">
        <x:v>https://github.com/modernecotech/OpenSourceRail/blob/50010ce56370cf6b22dc383c12eebbc224800007/lib/templates/civil-cost-model.toml</x:v>
      </x:c>
    </x:row>
    <x:row r="42" ht="36" customHeight="1">
      <x:c r="A42" s="21" t="str">
        <x:v>Conventional rail/fastener supply allocation</x:v>
      </x:c>
      <x:c r="B42" s="3" t="str">
        <x:v>USD/dual-km</x:v>
      </x:c>
      <x:c r="C42" s="14" t="n">
        <x:v>500000</x:v>
      </x:c>
      <x:c r="D42" s="21" t="str">
        <x:v>Author allocation within supplied-components scope; unverified</x:v>
      </x:c>
      <x:c r="E42" s="21"/>
      <x:c r="F42" s="21"/>
      <x:c r="G42" s="3"/>
      <x:c r="H42" s="21" t="str">
        <x:v>Engineering/user assumption in rework specification</x:v>
      </x:c>
    </x:row>
    <x:row r="43" ht="36" customHeight="1">
      <x:c r="A43" s="21" t="str">
        <x:v>Single-direction beam length per route-km</x:v>
      </x:c>
      <x:c r="B43" s="3" t="str">
        <x:v>m/dual-km</x:v>
      </x:c>
      <x:c r="C43" s="14" t="n">
        <x:v>2000</x:v>
      </x:c>
      <x:c r="D43" s="21" t="str">
        <x:v>Two directions</x:v>
      </x:c>
      <x:c r="E43" s="21"/>
      <x:c r="F43" s="21"/>
      <x:c r="G43" s="3"/>
      <x:c r="H43" s="21" t="str">
        <x:v>Engineering/user assumption in rework specification</x:v>
      </x:c>
    </x:row>
    <x:row r="44" ht="36" customHeight="1">
      <x:c r="A44" s="21" t="str">
        <x:v>Current supplied components before track split</x:v>
      </x:c>
      <x:c r="B44" s="3" t="str">
        <x:v>USD/dual-km</x:v>
      </x:c>
      <x:c r="C44" s="14" t="n">
        <x:v>4094160</x:v>
      </x:c>
      <x:c r="D44" s="21" t="str">
        <x:v>Repo scope allocation; unquoted</x:v>
      </x:c>
      <x:c r="E44" s="21"/>
      <x:c r="F44" s="21"/>
      <x:c r="G44" s="3"/>
      <x:c r="H44" s="21" t="str">
        <x:v>https://github.com/modernecotech/OpenSourceRail/blob/50010ce56370cf6b22dc383c12eebbc224800007/lib/templates/civil-cost-model.toml</x:v>
      </x:c>
    </x:row>
    <x:row r="45" ht="36" customHeight="1">
      <x:c r="A45" s="21" t="str">
        <x:v>Additional long cantilever walkway brackets for narrow guidebeams;800/km at$200/$400/$750 supply each</x:v>
      </x:c>
      <x:c r="B45" s="3" t="str">
        <x:v>USD/dual-km</x:v>
      </x:c>
      <x:c r="C45" s="14" t="n">
        <x:v>0</x:v>
      </x:c>
      <x:c r="D45" s="21" t="str">
        <x:v>Repo scope allocation; unquoted</x:v>
      </x:c>
      <x:c r="E45" s="21"/>
      <x:c r="F45" s="21"/>
      <x:c r="G45" s="3"/>
      <x:c r="H45" s="21" t="str">
        <x:v>https://github.com/modernecotech/OpenSourceRail/blob/50010ce56370cf6b22dc383c12eebbc224800007/lib/templates/civil-cost-model.toml</x:v>
      </x:c>
    </x:row>
    <x:row r="46" ht="36" customHeight="1">
      <x:c r="A46" s="21" t="str">
        <x:v>Erection equipment and normal guideway lifts</x:v>
      </x:c>
      <x:c r="B46" s="3" t="str">
        <x:v>USD/dual-km</x:v>
      </x:c>
      <x:c r="C46" s="14" t="n">
        <x:v>779840</x:v>
      </x:c>
      <x:c r="D46" s="21" t="str">
        <x:v>Repo scope allocation; unquoted</x:v>
      </x:c>
      <x:c r="E46" s="21"/>
      <x:c r="F46" s="21"/>
      <x:c r="G46" s="3"/>
      <x:c r="H46" s="21" t="str">
        <x:v>https://github.com/modernecotech/OpenSourceRail/blob/50010ce56370cf6b22dc383c12eebbc224800007/lib/templates/civil-cost-model.toml</x:v>
      </x:c>
    </x:row>
    <x:row r="47" ht="36" customHeight="1">
      <x:c r="A47" s="21" t="str">
        <x:v>Transport</x:v>
      </x:c>
      <x:c r="B47" s="3" t="str">
        <x:v>USD/dual-km</x:v>
      </x:c>
      <x:c r="C47" s="14" t="n">
        <x:v>584880</x:v>
      </x:c>
      <x:c r="D47" s="21" t="str">
        <x:v>Repo scope allocation; unquoted</x:v>
      </x:c>
      <x:c r="E47" s="21"/>
      <x:c r="F47" s="21"/>
      <x:c r="G47" s="3"/>
      <x:c r="H47" s="21" t="str">
        <x:v>https://github.com/modernecotech/OpenSourceRail/blob/50010ce56370cf6b22dc383c12eebbc224800007/lib/templates/civil-cost-model.toml</x:v>
      </x:c>
    </x:row>
    <x:row r="48" ht="36" customHeight="1">
      <x:c r="A48" s="21" t="str">
        <x:v>Temporary works</x:v>
      </x:c>
      <x:c r="B48" s="3" t="str">
        <x:v>USD/dual-km</x:v>
      </x:c>
      <x:c r="C48" s="14" t="n">
        <x:v>487400</x:v>
      </x:c>
      <x:c r="D48" s="21" t="str">
        <x:v>Repo scope allocation; unquoted</x:v>
      </x:c>
      <x:c r="E48" s="21"/>
      <x:c r="F48" s="21"/>
      <x:c r="G48" s="3"/>
      <x:c r="H48" s="21" t="str">
        <x:v>https://github.com/modernecotech/OpenSourceRail/blob/50010ce56370cf6b22dc383c12eebbc224800007/lib/templates/civil-cost-model.toml</x:v>
      </x:c>
    </x:row>
    <x:row r="49" ht="36" customHeight="1">
      <x:c r="A49" s="21" t="str">
        <x:v>Installation labour and supervision, including passive rail installation</x:v>
      </x:c>
      <x:c r="B49" s="3" t="str">
        <x:v>USD/dual-km</x:v>
      </x:c>
      <x:c r="C49" s="14" t="n">
        <x:v>1169760</x:v>
      </x:c>
      <x:c r="D49" s="21" t="str">
        <x:v>Repo scope allocation; unquoted</x:v>
      </x:c>
      <x:c r="E49" s="21"/>
      <x:c r="F49" s="21"/>
      <x:c r="G49" s="3"/>
      <x:c r="H49" s="21" t="str">
        <x:v>https://github.com/modernecotech/OpenSourceRail/blob/50010ce56370cf6b22dc383c12eebbc224800007/lib/templates/civil-cost-model.toml</x:v>
      </x:c>
    </x:row>
    <x:row r="50" ht="36" customHeight="1">
      <x:c r="A50" s="21" t="str">
        <x:v>Night shift allowance</x:v>
      </x:c>
      <x:c r="B50" s="3" t="str">
        <x:v>USD/dual-km</x:v>
      </x:c>
      <x:c r="C50" s="14" t="n">
        <x:v>194960</x:v>
      </x:c>
      <x:c r="D50" s="21" t="str">
        <x:v>Repo scope allocation; unquoted</x:v>
      </x:c>
      <x:c r="E50" s="21"/>
      <x:c r="F50" s="21"/>
      <x:c r="G50" s="3"/>
      <x:c r="H50" s="21" t="str">
        <x:v>https://github.com/modernecotech/OpenSourceRail/blob/50010ce56370cf6b22dc383c12eebbc224800007/lib/templates/civil-cost-model.toml</x:v>
      </x:c>
    </x:row>
    <x:row r="51" ht="36" customHeight="1">
      <x:c r="A51" s="21" t="str">
        <x:v>Testing, inspection and magnetic rail metrology/alignment</x:v>
      </x:c>
      <x:c r="B51" s="3" t="str">
        <x:v>USD/dual-km</x:v>
      </x:c>
      <x:c r="C51" s="14" t="n">
        <x:v>292440</x:v>
      </x:c>
      <x:c r="D51" s="21" t="str">
        <x:v>Repo scope allocation; unquoted</x:v>
      </x:c>
      <x:c r="E51" s="21"/>
      <x:c r="F51" s="21"/>
      <x:c r="G51" s="3"/>
      <x:c r="H51" s="21" t="str">
        <x:v>https://github.com/modernecotech/OpenSourceRail/blob/50010ce56370cf6b22dc383c12eebbc224800007/lib/templates/civil-cost-model.toml</x:v>
      </x:c>
    </x:row>
    <x:row r="52" ht="36" customHeight="1">
      <x:c r="A52" s="21" t="str">
        <x:v>Maintenance equipment relocations; excludes utility relocation</x:v>
      </x:c>
      <x:c r="B52" s="3" t="str">
        <x:v>USD/dual-km</x:v>
      </x:c>
      <x:c r="C52" s="14" t="n">
        <x:v>292440</x:v>
      </x:c>
      <x:c r="D52" s="21" t="str">
        <x:v>Repo scope allocation; unquoted</x:v>
      </x:c>
      <x:c r="E52" s="21"/>
      <x:c r="F52" s="21"/>
      <x:c r="G52" s="3"/>
      <x:c r="H52" s="21" t="str">
        <x:v>https://github.com/modernecotech/OpenSourceRail/blob/50010ce56370cf6b22dc383c12eebbc224800007/lib/templates/civil-cost-model.toml</x:v>
      </x:c>
    </x:row>
    <x:row r="53" ht="36" customHeight="1">
      <x:c r="A53" s="21" t="str">
        <x:v>Traffic management</x:v>
      </x:c>
      <x:c r="B53" s="3" t="str">
        <x:v>USD/dual-km</x:v>
      </x:c>
      <x:c r="C53" s="14" t="n">
        <x:v>389920</x:v>
      </x:c>
      <x:c r="D53" s="21" t="str">
        <x:v>Repo scope allocation; unquoted</x:v>
      </x:c>
      <x:c r="E53" s="21"/>
      <x:c r="F53" s="21"/>
      <x:c r="G53" s="3"/>
      <x:c r="H53" s="21" t="str">
        <x:v>https://github.com/modernecotech/OpenSourceRail/blob/50010ce56370cf6b22dc383c12eebbc224800007/lib/templates/civil-cost-model.toml</x:v>
      </x:c>
    </x:row>
    <x:row r="54" ht="36" customHeight="1">
      <x:c r="A54" s="21" t="str">
        <x:v>Supports and foundations; reduced only after structural/geotechnical release</x:v>
      </x:c>
      <x:c r="B54" s="3" t="str">
        <x:v>USD/dual-km</x:v>
      </x:c>
      <x:c r="C54" s="14" t="n">
        <x:v>1462200</x:v>
      </x:c>
      <x:c r="D54" s="21" t="str">
        <x:v>Repo scope allocation; unquoted</x:v>
      </x:c>
      <x:c r="E54" s="21"/>
      <x:c r="F54" s="21"/>
      <x:c r="G54" s="3"/>
      <x:c r="H54" s="21" t="str">
        <x:v>https://github.com/modernecotech/OpenSourceRail/blob/50010ce56370cf6b22dc383c12eebbc224800007/lib/templates/civil-cost-model.toml</x:v>
      </x:c>
    </x:row>
    <x:row r="55" ht="36" customHeight="1">
      <x:c r="A55" s="21" t="str">
        <x:v>Pilot engineering cost per FTE-year</x:v>
      </x:c>
      <x:c r="B55" s="3" t="str">
        <x:v>USD/FTE-year</x:v>
      </x:c>
      <x:c r="C55" s="14" t="n">
        <x:v>90000</x:v>
      </x:c>
      <x:c r="D55" s="21" t="str">
        <x:v>Author budget assumption; fully loaded cost</x:v>
      </x:c>
      <x:c r="E55" s="21"/>
      <x:c r="F55" s="21"/>
      <x:c r="G55" s="3"/>
      <x:c r="H55" s="21" t="str">
        <x:v>Engineering/user assumption in rework specification</x:v>
      </x:c>
    </x:row>
    <x:row r="56" ht="22" customHeight="1">
      <x:c r="A56" s="21"/>
      <x:c r="B56" s="3"/>
      <x:c r="C56" s="3"/>
      <x:c r="D56" s="3"/>
      <x:c r="E56" s="3"/>
      <x:c r="F56" s="3"/>
      <x:c r="G56" s="3"/>
      <x:c r="H56" s="21"/>
    </x:row>
    <x:row r="57" ht="22" customHeight="1">
      <x:c r="A57" s="21"/>
      <x:c r="B57" s="3"/>
      <x:c r="C57" s="3"/>
      <x:c r="D57" s="3"/>
      <x:c r="E57" s="3"/>
      <x:c r="F57" s="3"/>
      <x:c r="G57" s="3"/>
      <x:c r="H57" s="21"/>
    </x:row>
    <x:row r="58" ht="25" customHeight="1">
      <x:c r="A58" s="22" t="str">
        <x:v>SCENARIO INPUT</x:v>
      </x:c>
      <x:c r="B58" s="13" t="str">
        <x:v>Unit</x:v>
      </x:c>
      <x:c r="C58" s="13" t="str">
        <x:v>Low</x:v>
      </x:c>
      <x:c r="D58" s="13" t="str">
        <x:v>Base</x:v>
      </x:c>
      <x:c r="E58" s="13" t="str">
        <x:v>High</x:v>
      </x:c>
      <x:c r="F58" s="13" t="str">
        <x:v>Active</x:v>
      </x:c>
      <x:c r="G58" s="3"/>
      <x:c r="H58" s="21"/>
    </x:row>
    <x:row r="59" ht="44" customHeight="1">
      <x:c r="A59" s="21" t="str">
        <x:v>Magnetic iron, pole pieces and structural module carriers</x:v>
      </x:c>
      <x:c r="B59" s="3" t="str">
        <x:v>USD/train</x:v>
      </x:c>
      <x:c r="C59" s="16" t="n">
        <x:v>20000</x:v>
      </x:c>
      <x:c r="D59" s="16" t="n">
        <x:v>35000</x:v>
      </x:c>
      <x:c r="E59" s="16" t="n">
        <x:v>70000</x:v>
      </x:c>
      <x:c r="F59" s="17" t="n">
        <x:f>IF($B$4=1,C59,IF($B$4=2,D59,E59))</x:f>
        <x:v>35000</x:v>
      </x:c>
      <x:c r="G59" s="3"/>
      <x:c r="H59" s="21" t="str">
        <x:v>Engineering allowance; supplier subassembly fabrication included</x:v>
      </x:c>
    </x:row>
    <x:row r="60" ht="44" customHeight="1">
      <x:c r="A60" s="21" t="str">
        <x:v>Lift, guidance and propulsion windings, insulation and potting</x:v>
      </x:c>
      <x:c r="B60" s="3" t="str">
        <x:v>USD/train</x:v>
      </x:c>
      <x:c r="C60" s="16" t="n">
        <x:v>15000</x:v>
      </x:c>
      <x:c r="D60" s="16" t="n">
        <x:v>30000</x:v>
      </x:c>
      <x:c r="E60" s="16" t="n">
        <x:v>65000</x:v>
      </x:c>
      <x:c r="F60" s="17" t="n">
        <x:f>IF($B$4=1,C60,IF($B$4=2,D60,E60))</x:f>
        <x:v>30000</x:v>
      </x:c>
      <x:c r="G60" s="3"/>
      <x:c r="H60" s="21" t="str">
        <x:v>Engineering allowance; supplier subassembly fabrication included</x:v>
      </x:c>
    </x:row>
    <x:row r="61" ht="44" customHeight="1">
      <x:c r="A61" s="21" t="str">
        <x:v>Magnetic-module inverters/current drivers and local power distribution</x:v>
      </x:c>
      <x:c r="B61" s="3" t="str">
        <x:v>USD/train</x:v>
      </x:c>
      <x:c r="C61" s="16" t="n">
        <x:v>20000</x:v>
      </x:c>
      <x:c r="D61" s="16" t="n">
        <x:v>30000</x:v>
      </x:c>
      <x:c r="E61" s="16" t="n">
        <x:v>60000</x:v>
      </x:c>
      <x:c r="F61" s="17" t="n">
        <x:f>IF($B$4=1,C61,IF($B$4=2,D61,E61))</x:f>
        <x:v>30000</x:v>
      </x:c>
      <x:c r="G61" s="3"/>
      <x:c r="H61" s="21" t="str">
        <x:v>Engineering allowance; supplier subassembly fabrication included</x:v>
      </x:c>
    </x:row>
    <x:row r="62" ht="44" customHeight="1">
      <x:c r="A62" s="21" t="str">
        <x:v>Gap/current/temperature sensing and local control electronics</x:v>
      </x:c>
      <x:c r="B62" s="3" t="str">
        <x:v>USD/train</x:v>
      </x:c>
      <x:c r="C62" s="16" t="n">
        <x:v>8000</x:v>
      </x:c>
      <x:c r="D62" s="16" t="n">
        <x:v>15000</x:v>
      </x:c>
      <x:c r="E62" s="16" t="n">
        <x:v>35000</x:v>
      </x:c>
      <x:c r="F62" s="17" t="n">
        <x:f>IF($B$4=1,C62,IF($B$4=2,D62,E62))</x:f>
        <x:v>15000</x:v>
      </x:c>
      <x:c r="G62" s="3"/>
      <x:c r="H62" s="21" t="str">
        <x:v>Engineering allowance; supplier subassembly fabrication included</x:v>
      </x:c>
    </x:row>
    <x:row r="63" ht="44" customHeight="1">
      <x:c r="A63" s="21" t="str">
        <x:v>Magnetic-module coolant circuit, heat exchangers and protection</x:v>
      </x:c>
      <x:c r="B63" s="3" t="str">
        <x:v>USD/train</x:v>
      </x:c>
      <x:c r="C63" s="16" t="n">
        <x:v>5000</x:v>
      </x:c>
      <x:c r="D63" s="16" t="n">
        <x:v>10000</x:v>
      </x:c>
      <x:c r="E63" s="16" t="n">
        <x:v>20000</x:v>
      </x:c>
      <x:c r="F63" s="17" t="n">
        <x:f>IF($B$4=1,C63,IF($B$4=2,D63,E63))</x:f>
        <x:v>10000</x:v>
      </x:c>
      <x:c r="G63" s="3"/>
      <x:c r="H63" s="21" t="str">
        <x:v>Engineering allowance; supplier subassembly fabrication included</x:v>
      </x:c>
    </x:row>
    <x:row r="64" ht="44" customHeight="1">
      <x:c r="A64" s="21" t="str">
        <x:v>Finished ferrite array assembly, mechanical retention, encapsulation and production QA; excludes raw ferrite</x:v>
      </x:c>
      <x:c r="B64" s="3" t="str">
        <x:v>USD/train</x:v>
      </x:c>
      <x:c r="C64" s="16" t="n">
        <x:v>7000</x:v>
      </x:c>
      <x:c r="D64" s="16" t="n">
        <x:v>15000</x:v>
      </x:c>
      <x:c r="E64" s="16" t="n">
        <x:v>35000</x:v>
      </x:c>
      <x:c r="F64" s="17" t="n">
        <x:f>IF($B$4=1,C64,IF($B$4=2,D64,E64))</x:f>
        <x:v>15000</x:v>
      </x:c>
      <x:c r="G64" s="3"/>
      <x:c r="H64" s="21" t="str">
        <x:v>Engineering allowance; supplier subassembly fabrication included</x:v>
      </x:c>
    </x:row>
    <x:row r="65" ht="44" customHeight="1">
      <x:c r="A65" s="21" t="str">
        <x:v>Capture, landing and emergency / parking brake</x:v>
      </x:c>
      <x:c r="B65" s="3" t="str">
        <x:v>USD/train</x:v>
      </x:c>
      <x:c r="C65" s="16" t="n">
        <x:v>15000</x:v>
      </x:c>
      <x:c r="D65" s="16" t="n">
        <x:v>30000</x:v>
      </x:c>
      <x:c r="E65" s="16" t="n">
        <x:v>60000</x:v>
      </x:c>
      <x:c r="F65" s="17" t="n">
        <x:f>IF($B$4=1,C65,IF($B$4=2,D65,E65))</x:f>
        <x:v>30000</x:v>
      </x:c>
      <x:c r="G65" s="3"/>
      <x:c r="H65" s="21" t="str">
        <x:v>Engineering allowance; replaces deleted brake/support functions</x:v>
      </x:c>
    </x:row>
    <x:row r="66" ht="44" customHeight="1">
      <x:c r="A66" s="21" t="str">
        <x:v>Final vehicle integration labour</x:v>
      </x:c>
      <x:c r="B66" s="3" t="str">
        <x:v>hours/train</x:v>
      </x:c>
      <x:c r="C66" s="16" t="n">
        <x:v>5000</x:v>
      </x:c>
      <x:c r="D66" s="16" t="n">
        <x:v>6500</x:v>
      </x:c>
      <x:c r="E66" s="16" t="n">
        <x:v>10000</x:v>
      </x:c>
      <x:c r="F66" s="17" t="n">
        <x:f>IF($B$4=1,C66,IF($B$4=2,D66,E66))</x:f>
        <x:v>6500</x:v>
      </x:c>
      <x:c r="G66" s="3"/>
      <x:c r="H66" s="21" t="str">
        <x:v>Replaces current assembly hours, not an addition to them</x:v>
      </x:c>
    </x:row>
    <x:row r="67" ht="44" customHeight="1">
      <x:c r="A67" s="21" t="str">
        <x:v>Dimensioned narrow-box supplied structural components, excluding conventional rail and new walkway brackets</x:v>
      </x:c>
      <x:c r="B67" s="3" t="str">
        <x:v>multiplier</x:v>
      </x:c>
      <x:c r="C67" s="18" t="n">
        <x:v>0.6492574064593675</x:v>
      </x:c>
      <x:c r="D67" s="18" t="n">
        <x:v>0.6664728337080152</x:v>
      </x:c>
      <x:c r="E67" s="18" t="n">
        <x:v>0.7353345427026065</x:v>
      </x:c>
      <x:c r="F67" s="19" t="n">
        <x:f>IF($B$4=1,C67,IF($B$4=2,D67,E67))</x:f>
        <x:v>0.6664728337080152</x:v>
      </x:c>
      <x:c r="G67" s="3"/>
      <x:c r="H67" s="21" t="str">
        <x:v>Author multiplier on the remaining current scope</x:v>
      </x:c>
    </x:row>
    <x:row r="68" ht="44" customHeight="1">
      <x:c r="A68" s="21" t="str">
        <x:v>Passive magnetic rail and mounting supply</x:v>
      </x:c>
      <x:c r="B68" s="3" t="str">
        <x:v>USD/dual-km</x:v>
      </x:c>
      <x:c r="C68" s="16" t="n">
        <x:v>850000</x:v>
      </x:c>
      <x:c r="D68" s="16" t="n">
        <x:v>1200000</x:v>
      </x:c>
      <x:c r="E68" s="16" t="n">
        <x:v>1700000</x:v>
      </x:c>
      <x:c r="F68" s="17" t="n">
        <x:f>IF($B$4=1,C68,IF($B$4=2,D68,E68))</x:f>
        <x:v>1200000</x:v>
      </x:c>
      <x:c r="G68" s="3"/>
      <x:c r="H68" s="21" t="str">
        <x:v>Supply only; install / metrology separate. LIM conductor extra if selected.</x:v>
      </x:c>
    </x:row>
    <x:row r="69" ht="44" customHeight="1">
      <x:c r="A69" s="21" t="str">
        <x:v>Long evacuation-walkway bracket supply</x:v>
      </x:c>
      <x:c r="B69" s="3" t="str">
        <x:v>USD/dual-km</x:v>
      </x:c>
      <x:c r="C69" s="16" t="n">
        <x:v>160000</x:v>
      </x:c>
      <x:c r="D69" s="16" t="n">
        <x:v>320000</x:v>
      </x:c>
      <x:c r="E69" s="16" t="n">
        <x:v>600000</x:v>
      </x:c>
      <x:c r="F69" s="17" t="n">
        <x:f>IF($B$4=1,C69,IF($B$4=2,D69,E69))</x:f>
        <x:v>320000</x:v>
      </x:c>
      <x:c r="G69" s="3"/>
      <x:c r="H69" s="21" t="str">
        <x:v>800 brackets per dual route-km; supply only, installation in labour.</x:v>
      </x:c>
    </x:row>
    <x:row r="70" ht="44" customHeight="1">
      <x:c r="A70" s="21" t="str">
        <x:v>Erection equipment and normal guideway lifts</x:v>
      </x:c>
      <x:c r="B70" s="3" t="str">
        <x:v>multiplier</x:v>
      </x:c>
      <x:c r="C70" s="18" t="n">
        <x:v>0.55</x:v>
      </x:c>
      <x:c r="D70" s="18" t="n">
        <x:v>0.7</x:v>
      </x:c>
      <x:c r="E70" s="18" t="n">
        <x:v>0.95</x:v>
      </x:c>
      <x:c r="F70" s="19" t="n">
        <x:f>IF($B$4=1,C70,IF($B$4=2,D70,E70))</x:f>
        <x:v>0.7</x:v>
      </x:c>
      <x:c r="G70" s="3"/>
      <x:c r="H70" s="21" t="str">
        <x:v>Author multiplier on the remaining current scope</x:v>
      </x:c>
    </x:row>
    <x:row r="71" ht="44" customHeight="1">
      <x:c r="A71" s="21" t="str">
        <x:v>Transport</x:v>
      </x:c>
      <x:c r="B71" s="3" t="str">
        <x:v>multiplier</x:v>
      </x:c>
      <x:c r="C71" s="18" t="n">
        <x:v>0.5</x:v>
      </x:c>
      <x:c r="D71" s="18" t="n">
        <x:v>0.65</x:v>
      </x:c>
      <x:c r="E71" s="18" t="n">
        <x:v>0.9</x:v>
      </x:c>
      <x:c r="F71" s="19" t="n">
        <x:f>IF($B$4=1,C71,IF($B$4=2,D71,E71))</x:f>
        <x:v>0.65</x:v>
      </x:c>
      <x:c r="G71" s="3"/>
      <x:c r="H71" s="21" t="str">
        <x:v>Author multiplier on the remaining current scope</x:v>
      </x:c>
    </x:row>
    <x:row r="72" ht="44" customHeight="1">
      <x:c r="A72" s="21" t="str">
        <x:v>Temporary works</x:v>
      </x:c>
      <x:c r="B72" s="3" t="str">
        <x:v>multiplier</x:v>
      </x:c>
      <x:c r="C72" s="18" t="n">
        <x:v>0.65</x:v>
      </x:c>
      <x:c r="D72" s="18" t="n">
        <x:v>0.8</x:v>
      </x:c>
      <x:c r="E72" s="18" t="n">
        <x:v>1</x:v>
      </x:c>
      <x:c r="F72" s="19" t="n">
        <x:f>IF($B$4=1,C72,IF($B$4=2,D72,E72))</x:f>
        <x:v>0.8</x:v>
      </x:c>
      <x:c r="G72" s="3"/>
      <x:c r="H72" s="21" t="str">
        <x:v>Author multiplier on the remaining current scope</x:v>
      </x:c>
    </x:row>
    <x:row r="73" ht="44" customHeight="1">
      <x:c r="A73" s="21" t="str">
        <x:v>Installation labour and supervision, including passive rail installation</x:v>
      </x:c>
      <x:c r="B73" s="3" t="str">
        <x:v>multiplier</x:v>
      </x:c>
      <x:c r="C73" s="18" t="n">
        <x:v>0.6</x:v>
      </x:c>
      <x:c r="D73" s="18" t="n">
        <x:v>0.7</x:v>
      </x:c>
      <x:c r="E73" s="18" t="n">
        <x:v>0.95</x:v>
      </x:c>
      <x:c r="F73" s="19" t="n">
        <x:f>IF($B$4=1,C73,IF($B$4=2,D73,E73))</x:f>
        <x:v>0.7</x:v>
      </x:c>
      <x:c r="G73" s="3"/>
      <x:c r="H73" s="21" t="str">
        <x:v>Author multiplier on the remaining current scope</x:v>
      </x:c>
    </x:row>
    <x:row r="74" ht="44" customHeight="1">
      <x:c r="A74" s="21" t="str">
        <x:v>Night shift allowance</x:v>
      </x:c>
      <x:c r="B74" s="3" t="str">
        <x:v>multiplier</x:v>
      </x:c>
      <x:c r="C74" s="18" t="n">
        <x:v>0.6</x:v>
      </x:c>
      <x:c r="D74" s="18" t="n">
        <x:v>0.75</x:v>
      </x:c>
      <x:c r="E74" s="18" t="n">
        <x:v>1</x:v>
      </x:c>
      <x:c r="F74" s="19" t="n">
        <x:f>IF($B$4=1,C74,IF($B$4=2,D74,E74))</x:f>
        <x:v>0.75</x:v>
      </x:c>
      <x:c r="G74" s="3"/>
      <x:c r="H74" s="21" t="str">
        <x:v>Author multiplier on the remaining current scope</x:v>
      </x:c>
    </x:row>
    <x:row r="75" ht="44" customHeight="1">
      <x:c r="A75" s="21" t="str">
        <x:v>Testing, inspection and magnetic rail metrology/alignment</x:v>
      </x:c>
      <x:c r="B75" s="3" t="str">
        <x:v>multiplier</x:v>
      </x:c>
      <x:c r="C75" s="18" t="n">
        <x:v>1</x:v>
      </x:c>
      <x:c r="D75" s="18" t="n">
        <x:v>1.15</x:v>
      </x:c>
      <x:c r="E75" s="18" t="n">
        <x:v>1.3</x:v>
      </x:c>
      <x:c r="F75" s="19" t="n">
        <x:f>IF($B$4=1,C75,IF($B$4=2,D75,E75))</x:f>
        <x:v>1.15</x:v>
      </x:c>
      <x:c r="G75" s="3"/>
      <x:c r="H75" s="21" t="str">
        <x:v>Author multiplier on the remaining current scope</x:v>
      </x:c>
    </x:row>
    <x:row r="76" ht="44" customHeight="1">
      <x:c r="A76" s="21" t="str">
        <x:v>Maintenance equipment relocations; excludes utility relocation</x:v>
      </x:c>
      <x:c r="B76" s="3" t="str">
        <x:v>multiplier</x:v>
      </x:c>
      <x:c r="C76" s="18" t="n">
        <x:v>1</x:v>
      </x:c>
      <x:c r="D76" s="18" t="n">
        <x:v>1</x:v>
      </x:c>
      <x:c r="E76" s="18" t="n">
        <x:v>1</x:v>
      </x:c>
      <x:c r="F76" s="19" t="n">
        <x:f>IF($B$4=1,C76,IF($B$4=2,D76,E76))</x:f>
        <x:v>1</x:v>
      </x:c>
      <x:c r="G76" s="3"/>
      <x:c r="H76" s="21" t="str">
        <x:v>Author multiplier on the remaining current scope</x:v>
      </x:c>
    </x:row>
    <x:row r="77" ht="44" customHeight="1">
      <x:c r="A77" s="21" t="str">
        <x:v>Traffic management</x:v>
      </x:c>
      <x:c r="B77" s="3" t="str">
        <x:v>multiplier</x:v>
      </x:c>
      <x:c r="C77" s="18" t="n">
        <x:v>0.8</x:v>
      </x:c>
      <x:c r="D77" s="18" t="n">
        <x:v>0.9</x:v>
      </x:c>
      <x:c r="E77" s="18" t="n">
        <x:v>1</x:v>
      </x:c>
      <x:c r="F77" s="19" t="n">
        <x:f>IF($B$4=1,C77,IF($B$4=2,D77,E77))</x:f>
        <x:v>0.9</x:v>
      </x:c>
      <x:c r="G77" s="3"/>
      <x:c r="H77" s="21" t="str">
        <x:v>Author multiplier on the remaining current scope</x:v>
      </x:c>
    </x:row>
    <x:row r="78" ht="44" customHeight="1">
      <x:c r="A78" s="21" t="str">
        <x:v>Supports and foundations; reduced only after structural/geotechnical release</x:v>
      </x:c>
      <x:c r="B78" s="3" t="str">
        <x:v>multiplier</x:v>
      </x:c>
      <x:c r="C78" s="18" t="n">
        <x:v>0.65</x:v>
      </x:c>
      <x:c r="D78" s="18" t="n">
        <x:v>0.8</x:v>
      </x:c>
      <x:c r="E78" s="18" t="n">
        <x:v>1</x:v>
      </x:c>
      <x:c r="F78" s="19" t="n">
        <x:f>IF($B$4=1,C78,IF($B$4=2,D78,E78))</x:f>
        <x:v>0.8</x:v>
      </x:c>
      <x:c r="G78" s="3"/>
      <x:c r="H78" s="21" t="str">
        <x:v>Author multiplier on the remaining current scope</x:v>
      </x:c>
    </x:row>
    <x:row r="79" ht="44" customHeight="1">
      <x:c r="A79" s="21" t="str">
        <x:v>Magnetics, structures, embedded controls and systems engineering: assumed 20/60/120 FTE-years at $90,000 per FTE-year</x:v>
      </x:c>
      <x:c r="B79" s="3" t="str">
        <x:v>FTE-years</x:v>
      </x:c>
      <x:c r="C79" s="16" t="n">
        <x:v>20</x:v>
      </x:c>
      <x:c r="D79" s="16" t="n">
        <x:v>60</x:v>
      </x:c>
      <x:c r="E79" s="16" t="n">
        <x:v>120</x:v>
      </x:c>
      <x:c r="F79" s="17" t="n">
        <x:f>IF($B$4=1,C79,IF($B$4=2,D79,E79))</x:f>
        <x:v>60</x:v>
      </x:c>
      <x:c r="G79" s="3"/>
      <x:c r="H79" s="21" t="str">
        <x:v>Pilot programme allowance; no commercial system approval implied</x:v>
      </x:c>
    </x:row>
    <x:row r="80" ht="44" customHeight="1">
      <x:c r="A80" s="21" t="str">
        <x:v>Independent review, safety analysis, EMC/environmental/vehicle/guideway testing campaign for a pilot</x:v>
      </x:c>
      <x:c r="B80" s="3" t="str">
        <x:v>USD</x:v>
      </x:c>
      <x:c r="C80" s="16" t="n">
        <x:v>800000</x:v>
      </x:c>
      <x:c r="D80" s="16" t="n">
        <x:v>2500000</x:v>
      </x:c>
      <x:c r="E80" s="16" t="n">
        <x:v>6000000</x:v>
      </x:c>
      <x:c r="F80" s="17" t="n">
        <x:f>IF($B$4=1,C80,IF($B$4=2,D80,E80))</x:f>
        <x:v>2500000</x:v>
      </x:c>
      <x:c r="G80" s="3"/>
      <x:c r="H80" s="21" t="str">
        <x:v>Pilot programme allowance; no commercial system approval implied</x:v>
      </x:c>
    </x:row>
    <x:row r="81" ht="44" customHeight="1">
      <x:c r="A81" s="21" t="str">
        <x:v>Module magnetic, power, thermal, retention and fault test rigs</x:v>
      </x:c>
      <x:c r="B81" s="3" t="str">
        <x:v>USD</x:v>
      </x:c>
      <x:c r="C81" s="16" t="n">
        <x:v>500000</x:v>
      </x:c>
      <x:c r="D81" s="16" t="n">
        <x:v>1000000</x:v>
      </x:c>
      <x:c r="E81" s="16" t="n">
        <x:v>2500000</x:v>
      </x:c>
      <x:c r="F81" s="17" t="n">
        <x:f>IF($B$4=1,C81,IF($B$4=2,D81,E81))</x:f>
        <x:v>1000000</x:v>
      </x:c>
      <x:c r="G81" s="3"/>
      <x:c r="H81" s="21" t="str">
        <x:v>Pilot programme allowance; no commercial system approval implied</x:v>
      </x:c>
    </x:row>
    <x:row r="82" ht="44" customHeight="1">
      <x:c r="A82" s="21" t="str">
        <x:v>Prototype winding, ferrite assembly and body/guideway fixtures plus metrology tooling</x:v>
      </x:c>
      <x:c r="B82" s="3" t="str">
        <x:v>USD</x:v>
      </x:c>
      <x:c r="C82" s="16" t="n">
        <x:v>500000</x:v>
      </x:c>
      <x:c r="D82" s="16" t="n">
        <x:v>1500000</x:v>
      </x:c>
      <x:c r="E82" s="16" t="n">
        <x:v>4000000</x:v>
      </x:c>
      <x:c r="F82" s="17" t="n">
        <x:f>IF($B$4=1,C82,IF($B$4=2,D82,E82))</x:f>
        <x:v>1500000</x:v>
      </x:c>
      <x:c r="G82" s="3"/>
      <x:c r="H82" s="21" t="str">
        <x:v>Pilot programme allowance; no commercial system approval implied</x:v>
      </x:c>
    </x:row>
    <x:row r="83" ht="44" customHeight="1">
      <x:c r="A83" s="21" t="str">
        <x:v>One complete three-car first article, including low-volume fabrication and rework</x:v>
      </x:c>
      <x:c r="B83" s="3" t="str">
        <x:v>USD</x:v>
      </x:c>
      <x:c r="C83" s="16" t="n">
        <x:v>1200000</x:v>
      </x:c>
      <x:c r="D83" s="16" t="n">
        <x:v>1800000</x:v>
      </x:c>
      <x:c r="E83" s="16" t="n">
        <x:v>3500000</x:v>
      </x:c>
      <x:c r="F83" s="17" t="n">
        <x:f>IF($B$4=1,C83,IF($B$4=2,D83,E83))</x:f>
        <x:v>1800000</x:v>
      </x:c>
      <x:c r="G83" s="3"/>
      <x:c r="H83" s="21" t="str">
        <x:v>Pilot programme allowance; no commercial system approval implied</x:v>
      </x:c>
    </x:row>
    <x:row r="84" ht="44" customHeight="1">
      <x:c r="A84" s="21" t="str">
        <x:v>Approximately 1 km single-direction low-height pilot guideway with functional rail, foundations, civil works and instrumentation installation</x:v>
      </x:c>
      <x:c r="B84" s="3" t="str">
        <x:v>USD</x:v>
      </x:c>
      <x:c r="C84" s="16" t="n">
        <x:v>2000000</x:v>
      </x:c>
      <x:c r="D84" s="16" t="n">
        <x:v>4000000</x:v>
      </x:c>
      <x:c r="E84" s="16" t="n">
        <x:v>8000000</x:v>
      </x:c>
      <x:c r="F84" s="17" t="n">
        <x:f>IF($B$4=1,C84,IF($B$4=2,D84,E84))</x:f>
        <x:v>4000000</x:v>
      </x:c>
      <x:c r="G84" s="3"/>
      <x:c r="H84" s="21" t="str">
        <x:v>Pilot programme allowance; no commercial system approval implied</x:v>
      </x:c>
    </x:row>
    <x:row r="85" ht="44" customHeight="1">
      <x:c r="A85" s="21" t="str">
        <x:v>Pilot charging, power supply, modest workshop/test-site adaptation and recovery equipment</x:v>
      </x:c>
      <x:c r="B85" s="3" t="str">
        <x:v>USD</x:v>
      </x:c>
      <x:c r="C85" s="16" t="n">
        <x:v>400000</x:v>
      </x:c>
      <x:c r="D85" s="16" t="n">
        <x:v>1000000</x:v>
      </x:c>
      <x:c r="E85" s="16" t="n">
        <x:v>2000000</x:v>
      </x:c>
      <x:c r="F85" s="17" t="n">
        <x:f>IF($B$4=1,C85,IF($B$4=2,D85,E85))</x:f>
        <x:v>1000000</x:v>
      </x:c>
      <x:c r="G85" s="3"/>
      <x:c r="H85" s="21" t="str">
        <x:v>Pilot programme allowance; no commercial system approval implied</x:v>
      </x:c>
    </x:row>
    <x:row r="86" ht="44" customHeight="1">
      <x:c r="A86" s="21" t="str">
        <x:v>Pilot development reserve</x:v>
      </x:c>
      <x:c r="B86" s="3" t="str">
        <x:v>fraction</x:v>
      </x:c>
      <x:c r="C86" s="15" t="n">
        <x:v>0.25</x:v>
      </x:c>
      <x:c r="D86" s="15" t="n">
        <x:v>0.35</x:v>
      </x:c>
      <x:c r="E86" s="15" t="n">
        <x:v>0.5</x:v>
      </x:c>
      <x:c r="F86" s="20" t="n">
        <x:f>IF($B$4=1,C86,IF($B$4=2,D86,E86))</x:f>
        <x:v>0.35</x:v>
      </x:c>
      <x:c r="G86" s="3"/>
      <x:c r="H86" s="21" t="str">
        <x:v>Separate from repeat-train 20% premium</x:v>
      </x:c>
    </x:row>
    <x:row r="87" ht="22" customHeight="1">
      <x:c r="A87" s="3"/>
      <x:c r="B87" s="3"/>
      <x:c r="C87" s="3"/>
      <x:c r="D87" s="3"/>
      <x:c r="E87" s="3"/>
      <x:c r="F87" s="3"/>
      <x:c r="G87" s="3"/>
      <x:c r="H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</x:row>
  </x:sheetData>
  <x:mergeCells>
    <x:mergeCell ref="A1:F1"/>
    <x:mergeCell ref="A2:F2"/>
    <x:mergeCell ref="D5:F5"/>
    <x:mergeCell ref="D6:F6"/>
    <x:mergeCell ref="A12:F12"/>
    <x:mergeCell ref="D16:F16"/>
    <x:mergeCell ref="D17:F17"/>
    <x:mergeCell ref="D18:F18"/>
    <x:mergeCell ref="D19:F19"/>
    <x:mergeCell ref="D20:F20"/>
    <x:mergeCell ref="D21:F21"/>
    <x:mergeCell ref="D22:F22"/>
    <x:mergeCell ref="D23:F23"/>
    <x:mergeCell ref="D24:F24"/>
    <x:mergeCell ref="D25:F25"/>
    <x:mergeCell ref="D26:F26"/>
    <x:mergeCell ref="D27:F27"/>
    <x:mergeCell ref="D28:F28"/>
    <x:mergeCell ref="D29:F29"/>
    <x:mergeCell ref="D30:F30"/>
    <x:mergeCell ref="D31:F31"/>
    <x:mergeCell ref="D32:F32"/>
    <x:mergeCell ref="D33:F33"/>
    <x:mergeCell ref="D34:F34"/>
    <x:mergeCell ref="D35:F35"/>
    <x:mergeCell ref="D36:F36"/>
    <x:mergeCell ref="D37:F37"/>
    <x:mergeCell ref="D38:F38"/>
    <x:mergeCell ref="D39:F39"/>
    <x:mergeCell ref="D40:F40"/>
    <x:mergeCell ref="D41:F41"/>
    <x:mergeCell ref="D42:F42"/>
    <x:mergeCell ref="D43:F43"/>
    <x:mergeCell ref="D44:F44"/>
    <x:mergeCell ref="D45:F45"/>
    <x:mergeCell ref="D46:F46"/>
    <x:mergeCell ref="D47:F47"/>
    <x:mergeCell ref="D48:F48"/>
    <x:mergeCell ref="D49:F49"/>
    <x:mergeCell ref="D50:F50"/>
    <x:mergeCell ref="D51:F51"/>
    <x:mergeCell ref="D52:F52"/>
    <x:mergeCell ref="D53:F53"/>
    <x:mergeCell ref="D54:F54"/>
    <x:mergeCell ref="D55:F55"/>
  </x:mergeCells>
  <x:dataValidations count="3">
    <x:dataValidation type="whole" operator="between" sqref="B4">
      <x:formula1>1</x:formula1>
      <x:formula2>3</x:formula2>
    </x:dataValidation>
    <x:dataValidation type="whole" operator="between" sqref="B5">
      <x:formula1>3000</x:formula1>
      <x:formula2>4000</x:formula2>
    </x:dataValidation>
    <x:dataValidation type="whole" operator="between" sqref="B6">
      <x:formula1>150</x:formula1>
      <x:formula2>225</x:formula2>
    </x:dataValidation>
  </x:dataValidations>
  <x:pageMargins left="0.7" right="0.7" top="0.75" bottom="0.75" header="0.3" footer="0.3"/>
  <x:legacyDrawing xmlns:r="http://schemas.openxmlformats.org/officeDocument/2006/relationships" r:id="R8cebd06faabc4933"/>
</x:worksheet>
</file>

<file path=xl/worksheets/sheet5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98" hidden="0" customWidth="1"/>
  </x:cols>
  <x:sheetData>
    <x:row r="1" ht="31" customHeight="1">
      <x:c r="A1" s="5" t="str">
        <x:v>First pilot development programme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One first three-car train + approximately 1 km low-height single-direction test guideway. Separate from mature unit prices.</x:v>
      </x:c>
      <x:c r="B2" s="6"/>
      <x:c r="C2" s="6"/>
      <x:c r="D2" s="6"/>
      <x:c r="E2" s="6"/>
      <x:c r="F2" s="6"/>
      <x:c r="G2" s="3"/>
      <x:c r="H2" s="3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3"/>
      <x:c r="B4" s="3"/>
      <x:c r="C4" s="3"/>
      <x:c r="D4" s="3"/>
      <x:c r="E4" s="3"/>
      <x:c r="F4" s="3"/>
      <x:c r="G4" s="3"/>
      <x:c r="H4" s="3"/>
    </x:row>
    <x:row r="5" ht="25" customHeight="1">
      <x:c r="A5" s="13" t="str">
        <x:v>Pilot scope</x:v>
      </x:c>
      <x:c r="B5" s="13" t="str">
        <x:v>Active quantity / rate</x:v>
      </x:c>
      <x:c r="C5" s="13" t="str">
        <x:v>Cost USD</x:v>
      </x:c>
      <x:c r="D5" s="13" t="str">
        <x:v>Boundary</x:v>
      </x:c>
      <x:c r="E5" s="13"/>
      <x:c r="F5" s="13"/>
      <x:c r="G5" s="3"/>
      <x:c r="H5" s="3"/>
    </x:row>
    <x:row r="6" ht="67" customHeight="1">
      <x:c r="A6" s="21" t="str">
        <x:v>Magnetics, structures, embedded controls and systems engineering: assumed 20/60/120 FTE-years at $90,000 per FTE-year</x:v>
      </x:c>
      <x:c r="B6" s="23" t="n">
        <x:f>Inputs!$F$79</x:f>
        <x:v>60</x:v>
      </x:c>
      <x:c r="C6" s="30" t="n">
        <x:f>B6*Inputs!$C$55</x:f>
        <x:v>5400000</x:v>
      </x:c>
      <x:c r="D6" s="3" t="str">
        <x:v>FTE-years × fully loaded cost</x:v>
      </x:c>
      <x:c r="E6" s="3"/>
      <x:c r="F6" s="3"/>
      <x:c r="G6" s="3"/>
      <x:c r="H6" s="3"/>
    </x:row>
    <x:row r="7" ht="67" customHeight="1">
      <x:c r="A7" s="21" t="str">
        <x:v>Independent review, safety analysis, EMC/environmental/vehicle/guideway testing campaign for a pilot</x:v>
      </x:c>
      <x:c r="B7" s="3"/>
      <x:c r="C7" s="30" t="n">
        <x:f>Inputs!$F$80</x:f>
        <x:v>2500000</x:v>
      </x:c>
      <x:c r="D7" s="3"/>
      <x:c r="E7" s="3"/>
      <x:c r="F7" s="3"/>
      <x:c r="G7" s="3"/>
      <x:c r="H7" s="3"/>
    </x:row>
    <x:row r="8" ht="67" customHeight="1">
      <x:c r="A8" s="21" t="str">
        <x:v>Module magnetic, power, thermal, retention and fault test rigs</x:v>
      </x:c>
      <x:c r="B8" s="3"/>
      <x:c r="C8" s="30" t="n">
        <x:f>Inputs!$F$81</x:f>
        <x:v>1000000</x:v>
      </x:c>
      <x:c r="D8" s="3"/>
      <x:c r="E8" s="3"/>
      <x:c r="F8" s="3"/>
      <x:c r="G8" s="3"/>
      <x:c r="H8" s="3"/>
    </x:row>
    <x:row r="9" ht="67" customHeight="1">
      <x:c r="A9" s="21" t="str">
        <x:v>Prototype winding, ferrite assembly and body/guideway fixtures plus metrology tooling</x:v>
      </x:c>
      <x:c r="B9" s="3"/>
      <x:c r="C9" s="30" t="n">
        <x:f>Inputs!$F$82</x:f>
        <x:v>1500000</x:v>
      </x:c>
      <x:c r="D9" s="3"/>
      <x:c r="E9" s="3"/>
      <x:c r="F9" s="3"/>
      <x:c r="G9" s="3"/>
      <x:c r="H9" s="3"/>
    </x:row>
    <x:row r="10" ht="67" customHeight="1">
      <x:c r="A10" s="21" t="str">
        <x:v>One complete three-car first article, including low-volume fabrication and rework</x:v>
      </x:c>
      <x:c r="B10" s="3"/>
      <x:c r="C10" s="30" t="n">
        <x:f>Inputs!$F$83</x:f>
        <x:v>1800000</x:v>
      </x:c>
      <x:c r="D10" s="3"/>
      <x:c r="E10" s="3"/>
      <x:c r="F10" s="3"/>
      <x:c r="G10" s="3"/>
      <x:c r="H10" s="3"/>
    </x:row>
    <x:row r="11" ht="67" customHeight="1">
      <x:c r="A11" s="21" t="str">
        <x:v>Approximately 1 km single-direction low-height pilot guideway with functional rail, foundations, civil works and instrumentation installation</x:v>
      </x:c>
      <x:c r="B11" s="3"/>
      <x:c r="C11" s="30" t="n">
        <x:f>Inputs!$F$84</x:f>
        <x:v>4000000</x:v>
      </x:c>
      <x:c r="D11" s="3"/>
      <x:c r="E11" s="3"/>
      <x:c r="F11" s="3"/>
      <x:c r="G11" s="3"/>
      <x:c r="H11" s="3"/>
    </x:row>
    <x:row r="12" ht="67" customHeight="1">
      <x:c r="A12" s="21" t="str">
        <x:v>Pilot charging, power supply, modest workshop/test-site adaptation and recovery equipment</x:v>
      </x:c>
      <x:c r="B12" s="3"/>
      <x:c r="C12" s="30" t="n">
        <x:f>Inputs!$F$85</x:f>
        <x:v>1000000</x:v>
      </x:c>
      <x:c r="D12" s="3"/>
      <x:c r="E12" s="3"/>
      <x:c r="F12" s="3"/>
      <x:c r="G12" s="3"/>
      <x:c r="H12" s="3"/>
    </x:row>
    <x:row r="13" ht="22" customHeight="1">
      <x:c r="A13" s="28" t="str">
        <x:v>Pilot subtotal</x:v>
      </x:c>
      <x:c r="B13" s="28"/>
      <x:c r="C13" s="33" t="n">
        <x:f>SUM(C6:C12)</x:f>
        <x:v>17200000</x:v>
      </x:c>
      <x:c r="D13" s="28"/>
      <x:c r="E13" s="28"/>
      <x:c r="F13" s="28"/>
      <x:c r="G13" s="3"/>
      <x:c r="H13" s="3"/>
    </x:row>
    <x:row r="14" ht="22" customHeight="1">
      <x:c r="A14" s="3" t="str">
        <x:v>Development reserve</x:v>
      </x:c>
      <x:c r="B14" s="38" t="n">
        <x:f>Inputs!$F$86</x:f>
        <x:v>0.35</x:v>
      </x:c>
      <x:c r="C14" s="31" t="n">
        <x:f>C13*B14</x:f>
        <x:v>6020000</x:v>
      </x:c>
      <x:c r="D14" s="3"/>
      <x:c r="E14" s="3"/>
      <x:c r="F14" s="3"/>
      <x:c r="G14" s="3"/>
      <x:c r="H14" s="3"/>
    </x:row>
    <x:row r="15" ht="22" customHeight="1">
      <x:c r="A15" s="28" t="str">
        <x:v>TOTAL FIRST PILOT PROGRAMME</x:v>
      </x:c>
      <x:c r="B15" s="28"/>
      <x:c r="C15" s="33" t="n">
        <x:f>SUM(C13:C14)</x:f>
        <x:v>23220000</x:v>
      </x:c>
      <x:c r="D15" s="28"/>
      <x:c r="E15" s="28"/>
      <x:c r="F15" s="28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21" t="str">
        <x:v>The first train, pilot fixtures and test guideway are included once. This is not a commercial operating approval, national production plant or full railway budget. The conventional design also has remaining development costs; the entire pilot budget is not automatically incremental maglev expenditure.</x:v>
      </x:c>
      <x:c r="B18" s="21"/>
      <x:c r="C18" s="21"/>
      <x:c r="D18" s="21"/>
      <x:c r="E18" s="21"/>
      <x:c r="F18" s="21"/>
      <x:c r="G18" s="3"/>
      <x:c r="H18" s="3"/>
    </x:row>
    <x:row r="19" ht="22" customHeight="1">
      <x:c r="A19" s="21"/>
      <x:c r="B19" s="21"/>
      <x:c r="C19" s="21"/>
      <x:c r="D19" s="21"/>
      <x:c r="E19" s="21"/>
      <x:c r="F19" s="21"/>
      <x:c r="G19" s="3"/>
      <x:c r="H19" s="3"/>
    </x:row>
    <x:row r="20" ht="22" customHeight="1">
      <x:c r="A20" s="21"/>
      <x:c r="B20" s="21"/>
      <x:c r="C20" s="21"/>
      <x:c r="D20" s="21"/>
      <x:c r="E20" s="21"/>
      <x:c r="F20" s="21"/>
      <x:c r="G20" s="3"/>
      <x:c r="H20" s="3"/>
    </x:row>
    <x:row r="21" ht="22" customHeight="1">
      <x:c r="A21" s="21"/>
      <x:c r="B21" s="21"/>
      <x:c r="C21" s="21"/>
      <x:c r="D21" s="21"/>
      <x:c r="E21" s="21"/>
      <x:c r="F21" s="21"/>
      <x:c r="G21" s="3"/>
      <x:c r="H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</x:row>
  </x:sheetData>
  <x:mergeCells>
    <x:mergeCell ref="A1:F1"/>
    <x:mergeCell ref="A2:F2"/>
    <x:mergeCell ref="A18:F21"/>
  </x:mergeCells>
  <x:pageMargins left="0.7" right="0.7" top="0.75" bottom="0.75" header="0.3" footer="0.3"/>
</x:worksheet>
</file>